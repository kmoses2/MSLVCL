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요약" sheetId="2" state="visible" r:id="rId4"/>
    <sheet name="설정" sheetId="3" state="visible" r:id="rId5"/>
    <sheet name="예산" sheetId="4" state="visible" r:id="rId6"/>
    <sheet name="실적" sheetId="5" state="visible" r:id="rId7"/>
    <sheet name="BvA분석" sheetId="6" state="visible" r:id="rId8"/>
  </sheets>
  <definedNames>
    <definedName function="false" hidden="true" localSheetId="5" name="_xlnm._FilterDatabase" vbProcedure="false">BvA분석!$A$4:$Q$204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WenQuanYi Zen Hei"/>
            <family val="2"/>
          </rPr>
          <t xml:space="preserve">샘플 기준값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사용자 설정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회사 </t>
        </r>
        <r>
          <rPr>
            <sz val="10"/>
            <rFont val="Arial"/>
            <family val="2"/>
          </rPr>
          <t xml:space="preserve">materiality </t>
        </r>
        <r>
          <rPr>
            <sz val="10"/>
            <rFont val="WenQuanYi Zen Hei"/>
            <family val="2"/>
          </rPr>
          <t xml:space="preserve">기준에 맞게 변경하세요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5" authorId="0">
      <text>
        <r>
          <rPr>
            <sz val="10"/>
            <rFont val="WenQuanYi Zen Hei"/>
            <family val="2"/>
          </rPr>
          <t xml:space="preserve">예시 입력입니다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지우고 실제 원인을 적으세요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<sst xmlns="http://schemas.openxmlformats.org/spreadsheetml/2006/main" count="188" uniqueCount="102">
  <si>
    <r>
      <rPr>
        <b val="true"/>
        <sz val="14"/>
        <rFont val="Arial"/>
        <family val="0"/>
        <charset val="1"/>
      </rPr>
      <t xml:space="preserve">BvA(</t>
    </r>
    <r>
      <rPr>
        <b val="true"/>
        <sz val="14"/>
        <rFont val="WenQuanYi Zen Hei"/>
        <family val="2"/>
      </rPr>
      <t xml:space="preserve">예산 대비 실적</t>
    </r>
    <r>
      <rPr>
        <b val="true"/>
        <sz val="14"/>
        <rFont val="Arial"/>
        <family val="0"/>
        <charset val="1"/>
      </rPr>
      <t xml:space="preserve">) </t>
    </r>
    <r>
      <rPr>
        <b val="true"/>
        <sz val="14"/>
        <rFont val="WenQuanYi Zen Hei"/>
        <family val="2"/>
      </rPr>
      <t xml:space="preserve">분석 템플릿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</si>
  <si>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매달 하는 일 —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단계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</si>
  <si>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1. '</t>
    </r>
    <r>
      <rPr>
        <sz val="10"/>
        <rFont val="WenQuanYi Zen Hei"/>
        <family val="2"/>
      </rPr>
      <t xml:space="preserve">설정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시트에서 기준월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노란 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바꿉니다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</si>
  <si>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'</t>
    </r>
    <r>
      <rPr>
        <sz val="10"/>
        <rFont val="WenQuanYi Zen Hei"/>
        <family val="2"/>
      </rPr>
      <t xml:space="preserve">실적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시트에 </t>
    </r>
    <r>
      <rPr>
        <sz val="10"/>
        <rFont val="Arial"/>
        <family val="0"/>
        <charset val="1"/>
      </rPr>
      <t xml:space="preserve">ERP</t>
    </r>
    <r>
      <rPr>
        <sz val="10"/>
        <rFont val="WenQuanYi Zen Hei"/>
        <family val="2"/>
      </rPr>
      <t xml:space="preserve">에서 뽑은 해당 월 실적을 붙여넣습니다</t>
    </r>
    <r>
      <rPr>
        <sz val="10"/>
        <rFont val="Arial"/>
        <family val="0"/>
        <charset val="1"/>
      </rPr>
      <t xml:space="preserve">. (</t>
    </r>
    <r>
      <rPr>
        <sz val="10"/>
        <rFont val="WenQuanYi Zen Hei"/>
        <family val="2"/>
      </rPr>
      <t xml:space="preserve">예산은 연초에 한 번만 입력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</si>
  <si>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3. 'BvA</t>
    </r>
    <r>
      <rPr>
        <sz val="10"/>
        <rFont val="WenQuanYi Zen Hei"/>
        <family val="2"/>
      </rPr>
      <t xml:space="preserve">분석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시트의 </t>
    </r>
    <r>
      <rPr>
        <sz val="10"/>
        <rFont val="Arial"/>
        <family val="0"/>
        <charset val="1"/>
      </rPr>
      <t xml:space="preserve">O</t>
    </r>
    <r>
      <rPr>
        <sz val="10"/>
        <rFont val="WenQuanYi Zen Hei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노란 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중요 차이 원인을 적으면 </t>
    </r>
    <r>
      <rPr>
        <sz val="10"/>
        <rFont val="Arial"/>
        <family val="0"/>
        <charset val="1"/>
      </rPr>
      <t xml:space="preserve">P</t>
    </r>
    <r>
      <rPr>
        <sz val="10"/>
        <rFont val="WenQuanYi Zen Hei"/>
        <family val="2"/>
      </rPr>
      <t xml:space="preserve">열 코멘트 초안이 완성됩니다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</si>
  <si>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 → '</t>
    </r>
    <r>
      <rPr>
        <sz val="10"/>
        <rFont val="WenQuanYi Zen Hei"/>
        <family val="2"/>
      </rPr>
      <t xml:space="preserve">요약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시트에서 손익 요약과 주요 차이 </t>
    </r>
    <r>
      <rPr>
        <sz val="10"/>
        <rFont val="Arial"/>
        <family val="0"/>
        <charset val="1"/>
      </rPr>
      <t xml:space="preserve">TOP 20 + </t>
    </r>
    <r>
      <rPr>
        <sz val="10"/>
        <rFont val="WenQuanYi Zen Hei"/>
        <family val="2"/>
      </rPr>
      <t xml:space="preserve">코멘트를 바로 보고에 쓰면 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</si>
  <si>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색 규칙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</si>
  <si>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파란 글씨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직접 입력하는 숫자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검정 글씨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수식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건드리지 마세요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초록 글씨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다른 시트 참조</t>
    </r>
  </si>
  <si>
    <r>
      <rPr>
        <sz val="10"/>
        <rFont val="WenQuanYi Zen Hei"/>
        <family val="2"/>
      </rPr>
      <t xml:space="preserve">노란 칸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사용자가 채우거나 바꾸는 칸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</si>
  <si>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입력 형식 — </t>
    </r>
    <r>
      <rPr>
        <b val="true"/>
        <sz val="10"/>
        <rFont val="Arial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예산</t>
    </r>
    <r>
      <rPr>
        <b val="true"/>
        <sz val="10"/>
        <rFont val="Arial"/>
        <family val="0"/>
        <charset val="1"/>
      </rPr>
      <t xml:space="preserve">', '</t>
    </r>
    <r>
      <rPr>
        <b val="true"/>
        <sz val="10"/>
        <rFont val="WenQuanYi Zen Hei"/>
        <family val="2"/>
      </rPr>
      <t xml:space="preserve">실적</t>
    </r>
    <r>
      <rPr>
        <b val="true"/>
        <sz val="10"/>
        <rFont val="Arial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시트 공통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</si>
  <si>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열 계정코드 </t>
    </r>
    <r>
      <rPr>
        <sz val="10"/>
        <rFont val="Arial"/>
        <family val="0"/>
        <charset val="1"/>
      </rPr>
      <t xml:space="preserve">/ B</t>
    </r>
    <r>
      <rPr>
        <sz val="10"/>
        <rFont val="WenQuanYi Zen Hei"/>
        <family val="2"/>
      </rPr>
      <t xml:space="preserve">열 계정명 </t>
    </r>
    <r>
      <rPr>
        <sz val="10"/>
        <rFont val="Arial"/>
        <family val="0"/>
        <charset val="1"/>
      </rPr>
      <t xml:space="preserve">/ C</t>
    </r>
    <r>
      <rPr>
        <sz val="10"/>
        <rFont val="WenQuanYi Zen Hei"/>
        <family val="2"/>
      </rPr>
      <t xml:space="preserve">열 구분</t>
    </r>
    <r>
      <rPr>
        <sz val="10"/>
        <rFont val="Arial"/>
        <family val="0"/>
        <charset val="1"/>
      </rPr>
      <t xml:space="preserve">('</t>
    </r>
    <r>
      <rPr>
        <sz val="10"/>
        <rFont val="WenQuanYi Zen Hei"/>
        <family val="2"/>
      </rPr>
      <t xml:space="preserve">매출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또는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비용</t>
    </r>
    <r>
      <rPr>
        <sz val="10"/>
        <rFont val="Arial"/>
        <family val="0"/>
        <charset val="1"/>
      </rPr>
      <t xml:space="preserve">') / D~O</t>
    </r>
    <r>
      <rPr>
        <sz val="10"/>
        <rFont val="WenQuanYi Zen Hei"/>
        <family val="2"/>
      </rPr>
      <t xml:space="preserve">열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~12</t>
    </r>
    <r>
      <rPr>
        <sz val="10"/>
        <rFont val="WenQuanYi Zen Hei"/>
        <family val="2"/>
      </rPr>
      <t xml:space="preserve">월 금액</t>
    </r>
  </si>
  <si>
    <r>
      <rPr>
        <sz val="10"/>
        <rFont val="WenQuanYi Zen Hei"/>
        <family val="2"/>
      </rPr>
      <t xml:space="preserve">데이터는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행부터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최대 </t>
    </r>
    <r>
      <rPr>
        <sz val="10"/>
        <rFont val="Arial"/>
        <family val="0"/>
        <charset val="1"/>
      </rPr>
      <t xml:space="preserve">200</t>
    </r>
    <r>
      <rPr>
        <sz val="10"/>
        <rFont val="WenQuanYi Zen Hei"/>
        <family val="2"/>
      </rPr>
      <t xml:space="preserve">개 계정까지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단위는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설정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시트의 단위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기본 백만원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맞춰 입력하세요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</si>
  <si>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실적 시트의 계정 순서는 예산과 달라도 됩니다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계정코드로 찾아옴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계정코드는 반드시 예산 시트에 있어야 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</si>
  <si>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판정 기준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</si>
  <si>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차이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실적 − 예산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매출은 실적이 크면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유리</t>
    </r>
    <r>
      <rPr>
        <sz val="10"/>
        <rFont val="Arial"/>
        <family val="0"/>
        <charset val="1"/>
      </rPr>
      <t xml:space="preserve">', </t>
    </r>
    <r>
      <rPr>
        <sz val="10"/>
        <rFont val="WenQuanYi Zen Hei"/>
        <family val="2"/>
      </rPr>
      <t xml:space="preserve">비용은 실적이 작으면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유리</t>
    </r>
    <r>
      <rPr>
        <sz val="10"/>
        <rFont val="Arial"/>
        <family val="0"/>
        <charset val="1"/>
      </rPr>
      <t xml:space="preserve">'.</t>
    </r>
  </si>
  <si>
    <r>
      <rPr>
        <sz val="10"/>
        <rFont val="WenQuanYi Zen Hei"/>
        <family val="2"/>
      </rPr>
      <t xml:space="preserve">중요 차이</t>
    </r>
    <r>
      <rPr>
        <sz val="10"/>
        <rFont val="Arial"/>
        <family val="0"/>
        <charset val="1"/>
      </rPr>
      <t xml:space="preserve">(●) = |</t>
    </r>
    <r>
      <rPr>
        <sz val="10"/>
        <rFont val="WenQuanYi Zen Hei"/>
        <family val="2"/>
      </rPr>
      <t xml:space="preserve">차이</t>
    </r>
    <r>
      <rPr>
        <sz val="10"/>
        <rFont val="Arial"/>
        <family val="0"/>
        <charset val="1"/>
      </rPr>
      <t xml:space="preserve">| ≥ </t>
    </r>
    <r>
      <rPr>
        <sz val="10"/>
        <rFont val="WenQuanYi Zen Hei"/>
        <family val="2"/>
      </rPr>
      <t xml:space="preserve">금액기준  그리고  </t>
    </r>
    <r>
      <rPr>
        <sz val="10"/>
        <rFont val="Arial"/>
        <family val="0"/>
        <charset val="1"/>
      </rPr>
      <t xml:space="preserve">|</t>
    </r>
    <r>
      <rPr>
        <sz val="10"/>
        <rFont val="WenQuanYi Zen Hei"/>
        <family val="2"/>
      </rPr>
      <t xml:space="preserve">차이</t>
    </r>
    <r>
      <rPr>
        <sz val="10"/>
        <rFont val="Arial"/>
        <family val="0"/>
        <charset val="1"/>
      </rPr>
      <t xml:space="preserve">%| ≥ </t>
    </r>
    <r>
      <rPr>
        <sz val="10"/>
        <rFont val="WenQuanYi Zen Hei"/>
        <family val="2"/>
      </rPr>
      <t xml:space="preserve">비율기준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예산이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이면 금액기준만 적용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기준은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설정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시트에서 변경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</si>
  <si>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주의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</si>
  <si>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• 'BvA</t>
    </r>
    <r>
      <rPr>
        <sz val="10"/>
        <rFont val="WenQuanYi Zen Hei"/>
        <family val="2"/>
      </rPr>
      <t xml:space="preserve">분석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의 계정 목록은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예산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 행 순서를 따라갑니다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예산 행 순서를 바꾸면 </t>
    </r>
    <r>
      <rPr>
        <sz val="10"/>
        <rFont val="Arial"/>
        <family val="0"/>
        <charset val="1"/>
      </rPr>
      <t xml:space="preserve">O</t>
    </r>
    <r>
      <rPr>
        <sz val="10"/>
        <rFont val="WenQuanYi Zen Hei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도 같이 옮겨주세요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</si>
  <si>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• '</t>
    </r>
    <r>
      <rPr>
        <sz val="10"/>
        <rFont val="WenQuanYi Zen Hei"/>
        <family val="2"/>
      </rPr>
      <t xml:space="preserve">요약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 하단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검증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차이가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이 아니면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실적에 예산에 없는 계정코드가 있다는 뜻입니다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</si>
  <si>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현재 들어있는 숫자는 모두 샘플입니다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회사 데이터로 덮어쓰세요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</si>
  <si>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손익 요약</t>
    </r>
    <r>
      <rPr>
        <b val="true"/>
        <sz val="10"/>
        <rFont val="Arial"/>
        <family val="0"/>
        <charset val="1"/>
      </rPr>
      <t xml:space="preserve">]</t>
    </r>
  </si>
  <si>
    <t xml:space="preserve">구분</t>
  </si>
  <si>
    <t xml:space="preserve">당월 예산</t>
  </si>
  <si>
    <t xml:space="preserve">당월 실적</t>
  </si>
  <si>
    <t xml:space="preserve">차이</t>
  </si>
  <si>
    <r>
      <rPr>
        <b val="true"/>
        <sz val="10"/>
        <color rgb="FFFFFFFF"/>
        <rFont val="WenQuanYi Zen Hei"/>
        <family val="2"/>
      </rPr>
      <t xml:space="preserve">차이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</si>
  <si>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WenQuanYi Zen Hei"/>
        <family val="2"/>
      </rPr>
      <t xml:space="preserve">유리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불리</t>
    </r>
  </si>
  <si>
    <r>
      <rPr>
        <b val="true"/>
        <sz val="10"/>
        <color rgb="FFFFFFFF"/>
        <rFont val="Arial"/>
        <family val="0"/>
        <charset val="1"/>
      </rPr>
      <t xml:space="preserve">YTD </t>
    </r>
    <r>
      <rPr>
        <b val="true"/>
        <sz val="10"/>
        <color rgb="FFFFFFFF"/>
        <rFont val="WenQuanYi Zen Hei"/>
        <family val="2"/>
      </rPr>
      <t xml:space="preserve">예산</t>
    </r>
  </si>
  <si>
    <r>
      <rPr>
        <b val="true"/>
        <sz val="10"/>
        <color rgb="FFFFFFFF"/>
        <rFont val="Arial"/>
        <family val="0"/>
        <charset val="1"/>
      </rPr>
      <t xml:space="preserve">YTD </t>
    </r>
    <r>
      <rPr>
        <b val="true"/>
        <sz val="10"/>
        <color rgb="FFFFFFFF"/>
        <rFont val="WenQuanYi Zen Hei"/>
        <family val="2"/>
      </rPr>
      <t xml:space="preserve">실적</t>
    </r>
  </si>
  <si>
    <r>
      <rPr>
        <b val="true"/>
        <sz val="10"/>
        <color rgb="FFFFFFFF"/>
        <rFont val="Arial"/>
        <family val="0"/>
        <charset val="1"/>
      </rPr>
      <t xml:space="preserve">YTD </t>
    </r>
    <r>
      <rPr>
        <b val="true"/>
        <sz val="10"/>
        <color rgb="FFFFFFFF"/>
        <rFont val="WenQuanYi Zen Hei"/>
        <family val="2"/>
      </rPr>
      <t xml:space="preserve">차이</t>
    </r>
  </si>
  <si>
    <r>
      <rPr>
        <b val="true"/>
        <sz val="10"/>
        <color rgb="FFFFFFFF"/>
        <rFont val="Arial"/>
        <family val="0"/>
        <charset val="1"/>
      </rPr>
      <t xml:space="preserve">YTD </t>
    </r>
    <r>
      <rPr>
        <b val="true"/>
        <sz val="10"/>
        <color rgb="FFFFFFFF"/>
        <rFont val="WenQuanYi Zen Hei"/>
        <family val="2"/>
      </rPr>
      <t xml:space="preserve">차이</t>
    </r>
    <r>
      <rPr>
        <b val="true"/>
        <sz val="10"/>
        <color rgb="FFFFFFFF"/>
        <rFont val="Arial"/>
        <family val="0"/>
        <charset val="1"/>
      </rPr>
      <t xml:space="preserve">%</t>
    </r>
  </si>
  <si>
    <t xml:space="preserve">매출</t>
  </si>
  <si>
    <t xml:space="preserve">비용</t>
  </si>
  <si>
    <t xml:space="preserve">영업이익</t>
  </si>
  <si>
    <t xml:space="preserve">영업이익률</t>
  </si>
  <si>
    <r>
      <rPr>
        <i val="true"/>
        <sz val="10"/>
        <color rgb="FF808080"/>
        <rFont val="Arial"/>
        <family val="0"/>
        <charset val="1"/>
      </rPr>
      <t xml:space="preserve">%p </t>
    </r>
    <r>
      <rPr>
        <i val="true"/>
        <sz val="10"/>
        <color rgb="FF808080"/>
        <rFont val="WenQuanYi Zen Hei"/>
        <family val="2"/>
      </rPr>
      <t xml:space="preserve">차이</t>
    </r>
  </si>
  <si>
    <t xml:space="preserve">순위</t>
  </si>
  <si>
    <t xml:space="preserve">계정명</t>
  </si>
  <si>
    <t xml:space="preserve">예산</t>
  </si>
  <si>
    <t xml:space="preserve">실적</t>
  </si>
  <si>
    <t xml:space="preserve">코멘트 초안</t>
  </si>
  <si>
    <r>
      <rPr>
        <sz val="10"/>
        <color rgb="FFA6A6A6"/>
        <rFont val="WenQuanYi Zen Hei"/>
        <family val="2"/>
      </rPr>
      <t xml:space="preserve">행</t>
    </r>
    <r>
      <rPr>
        <sz val="10"/>
        <color rgb="FFA6A6A6"/>
        <rFont val="Arial"/>
        <family val="0"/>
        <charset val="1"/>
      </rPr>
      <t xml:space="preserve">(</t>
    </r>
    <r>
      <rPr>
        <sz val="10"/>
        <color rgb="FFA6A6A6"/>
        <rFont val="WenQuanYi Zen Hei"/>
        <family val="2"/>
      </rPr>
      <t xml:space="preserve">자동</t>
    </r>
    <r>
      <rPr>
        <sz val="10"/>
        <color rgb="FFA6A6A6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</si>
  <si>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검증</t>
    </r>
    <r>
      <rPr>
        <b val="true"/>
        <sz val="10"/>
        <rFont val="Arial"/>
        <family val="0"/>
        <charset val="1"/>
      </rPr>
      <t xml:space="preserve">]  0</t>
    </r>
    <r>
      <rPr>
        <b val="true"/>
        <sz val="10"/>
        <rFont val="WenQuanYi Zen Hei"/>
        <family val="2"/>
      </rPr>
      <t xml:space="preserve">이 아니면 실적 시트에 예산에 없는 계정코드가 있습니다</t>
    </r>
    <r>
      <rPr>
        <b val="true"/>
        <sz val="10"/>
        <rFont val="Arial"/>
        <family val="0"/>
        <charset val="1"/>
      </rPr>
      <t xml:space="preserve">.</t>
    </r>
  </si>
  <si>
    <t xml:space="preserve">실적 시트 당월 합계</t>
  </si>
  <si>
    <r>
      <rPr>
        <sz val="11"/>
        <color theme="1"/>
        <rFont val="Calibri"/>
        <family val="2"/>
        <charset val="1"/>
      </rPr>
      <t xml:space="preserve">BvA </t>
    </r>
    <r>
      <rPr>
        <sz val="11"/>
        <color theme="1"/>
        <rFont val="WenQuanYi Zen Hei"/>
        <family val="2"/>
      </rPr>
      <t xml:space="preserve">반영 당월 실적 합계</t>
    </r>
  </si>
  <si>
    <t xml:space="preserve">설정</t>
  </si>
  <si>
    <t xml:space="preserve">연도</t>
  </si>
  <si>
    <t xml:space="preserve">2026</t>
  </si>
  <si>
    <r>
      <rPr>
        <i val="true"/>
        <sz val="10"/>
        <color rgb="FF808080"/>
        <rFont val="WenQuanYi Zen Hei"/>
        <family val="2"/>
      </rPr>
      <t xml:space="preserve">보고서 제목에 표시 </t>
    </r>
    <r>
      <rPr>
        <i val="true"/>
        <sz val="10"/>
        <color rgb="FF808080"/>
        <rFont val="Arial"/>
        <family val="0"/>
        <charset val="1"/>
      </rPr>
      <t xml:space="preserve">(</t>
    </r>
    <r>
      <rPr>
        <i val="true"/>
        <sz val="10"/>
        <color rgb="FF808080"/>
        <rFont val="WenQuanYi Zen Hei"/>
        <family val="2"/>
      </rPr>
      <t xml:space="preserve">텍스트</t>
    </r>
    <r>
      <rPr>
        <i val="true"/>
        <sz val="10"/>
        <color rgb="FF808080"/>
        <rFont val="Arial"/>
        <family val="0"/>
        <charset val="1"/>
      </rPr>
      <t xml:space="preserve">)</t>
    </r>
  </si>
  <si>
    <t xml:space="preserve">기준월</t>
  </si>
  <si>
    <r>
      <rPr>
        <i val="true"/>
        <sz val="10"/>
        <color rgb="FF808080"/>
        <rFont val="Arial"/>
        <family val="0"/>
        <charset val="1"/>
      </rPr>
      <t xml:space="preserve">1~12 </t>
    </r>
    <r>
      <rPr>
        <i val="true"/>
        <sz val="10"/>
        <color rgb="FF808080"/>
        <rFont val="WenQuanYi Zen Hei"/>
        <family val="2"/>
      </rPr>
      <t xml:space="preserve">중 선택</t>
    </r>
    <r>
      <rPr>
        <i val="true"/>
        <sz val="10"/>
        <color rgb="FF808080"/>
        <rFont val="Arial"/>
        <family val="0"/>
        <charset val="1"/>
      </rPr>
      <t xml:space="preserve">. </t>
    </r>
    <r>
      <rPr>
        <i val="true"/>
        <sz val="10"/>
        <color rgb="FF808080"/>
        <rFont val="WenQuanYi Zen Hei"/>
        <family val="2"/>
      </rPr>
      <t xml:space="preserve">당월 </t>
    </r>
    <r>
      <rPr>
        <i val="true"/>
        <sz val="10"/>
        <color rgb="FF808080"/>
        <rFont val="Arial"/>
        <family val="0"/>
        <charset val="1"/>
      </rPr>
      <t xml:space="preserve">= </t>
    </r>
    <r>
      <rPr>
        <i val="true"/>
        <sz val="10"/>
        <color rgb="FF808080"/>
        <rFont val="WenQuanYi Zen Hei"/>
        <family val="2"/>
      </rPr>
      <t xml:space="preserve">이 월</t>
    </r>
    <r>
      <rPr>
        <i val="true"/>
        <sz val="10"/>
        <color rgb="FF808080"/>
        <rFont val="Arial"/>
        <family val="0"/>
        <charset val="1"/>
      </rPr>
      <t xml:space="preserve">, </t>
    </r>
    <r>
      <rPr>
        <i val="true"/>
        <sz val="10"/>
        <color rgb="FF808080"/>
        <rFont val="WenQuanYi Zen Hei"/>
        <family val="2"/>
      </rPr>
      <t xml:space="preserve">누적</t>
    </r>
    <r>
      <rPr>
        <i val="true"/>
        <sz val="10"/>
        <color rgb="FF808080"/>
        <rFont val="Arial"/>
        <family val="0"/>
        <charset val="1"/>
      </rPr>
      <t xml:space="preserve">(YTD) = 1</t>
    </r>
    <r>
      <rPr>
        <i val="true"/>
        <sz val="10"/>
        <color rgb="FF808080"/>
        <rFont val="WenQuanYi Zen Hei"/>
        <family val="2"/>
      </rPr>
      <t xml:space="preserve">월</t>
    </r>
    <r>
      <rPr>
        <i val="true"/>
        <sz val="10"/>
        <color rgb="FF808080"/>
        <rFont val="Arial"/>
        <family val="0"/>
        <charset val="1"/>
      </rPr>
      <t xml:space="preserve">~</t>
    </r>
    <r>
      <rPr>
        <i val="true"/>
        <sz val="10"/>
        <color rgb="FF808080"/>
        <rFont val="WenQuanYi Zen Hei"/>
        <family val="2"/>
      </rPr>
      <t xml:space="preserve">이 월</t>
    </r>
  </si>
  <si>
    <t xml:space="preserve">중요 차이 금액기준</t>
  </si>
  <si>
    <r>
      <rPr>
        <i val="true"/>
        <sz val="10"/>
        <color rgb="FF808080"/>
        <rFont val="Arial"/>
        <family val="0"/>
        <charset val="1"/>
      </rPr>
      <t xml:space="preserve">|</t>
    </r>
    <r>
      <rPr>
        <i val="true"/>
        <sz val="10"/>
        <color rgb="FF808080"/>
        <rFont val="WenQuanYi Zen Hei"/>
        <family val="2"/>
      </rPr>
      <t xml:space="preserve">차이</t>
    </r>
    <r>
      <rPr>
        <i val="true"/>
        <sz val="10"/>
        <color rgb="FF808080"/>
        <rFont val="Arial"/>
        <family val="0"/>
        <charset val="1"/>
      </rPr>
      <t xml:space="preserve">| </t>
    </r>
    <r>
      <rPr>
        <i val="true"/>
        <sz val="10"/>
        <color rgb="FF808080"/>
        <rFont val="WenQuanYi Zen Hei"/>
        <family val="2"/>
      </rPr>
      <t xml:space="preserve">가 이 금액 이상이어야 중요 차이 </t>
    </r>
    <r>
      <rPr>
        <i val="true"/>
        <sz val="10"/>
        <color rgb="FF808080"/>
        <rFont val="Arial"/>
        <family val="0"/>
        <charset val="1"/>
      </rPr>
      <t xml:space="preserve">(</t>
    </r>
    <r>
      <rPr>
        <i val="true"/>
        <sz val="10"/>
        <color rgb="FF808080"/>
        <rFont val="WenQuanYi Zen Hei"/>
        <family val="2"/>
      </rPr>
      <t xml:space="preserve">단위 기준</t>
    </r>
    <r>
      <rPr>
        <i val="true"/>
        <sz val="10"/>
        <color rgb="FF808080"/>
        <rFont val="Arial"/>
        <family val="0"/>
        <charset val="1"/>
      </rPr>
      <t xml:space="preserve">)</t>
    </r>
  </si>
  <si>
    <t xml:space="preserve">중요 차이 비율기준</t>
  </si>
  <si>
    <r>
      <rPr>
        <i val="true"/>
        <sz val="10"/>
        <color rgb="FF808080"/>
        <rFont val="Arial"/>
        <family val="0"/>
        <charset val="1"/>
      </rPr>
      <t xml:space="preserve">|</t>
    </r>
    <r>
      <rPr>
        <i val="true"/>
        <sz val="10"/>
        <color rgb="FF808080"/>
        <rFont val="WenQuanYi Zen Hei"/>
        <family val="2"/>
      </rPr>
      <t xml:space="preserve">차이</t>
    </r>
    <r>
      <rPr>
        <i val="true"/>
        <sz val="10"/>
        <color rgb="FF808080"/>
        <rFont val="Arial"/>
        <family val="0"/>
        <charset val="1"/>
      </rPr>
      <t xml:space="preserve">%| </t>
    </r>
    <r>
      <rPr>
        <i val="true"/>
        <sz val="10"/>
        <color rgb="FF808080"/>
        <rFont val="WenQuanYi Zen Hei"/>
        <family val="2"/>
      </rPr>
      <t xml:space="preserve">가 이 비율 이상이어야 중요 차이</t>
    </r>
  </si>
  <si>
    <t xml:space="preserve">단위</t>
  </si>
  <si>
    <t xml:space="preserve">백만원</t>
  </si>
  <si>
    <t xml:space="preserve">표시용</t>
  </si>
  <si>
    <t xml:space="preserve">예산 데이터</t>
  </si>
  <si>
    <r>
      <rPr>
        <i val="true"/>
        <sz val="10"/>
        <color rgb="FF808080"/>
        <rFont val="WenQuanYi Zen Hei"/>
        <family val="2"/>
      </rPr>
      <t xml:space="preserve">연초 확정 예산을 </t>
    </r>
    <r>
      <rPr>
        <i val="true"/>
        <sz val="10"/>
        <color rgb="FF808080"/>
        <rFont val="Arial"/>
        <family val="0"/>
        <charset val="1"/>
      </rPr>
      <t xml:space="preserve">5</t>
    </r>
    <r>
      <rPr>
        <i val="true"/>
        <sz val="10"/>
        <color rgb="FF808080"/>
        <rFont val="WenQuanYi Zen Hei"/>
        <family val="2"/>
      </rPr>
      <t xml:space="preserve">행부터 붙여넣으세요 </t>
    </r>
    <r>
      <rPr>
        <i val="true"/>
        <sz val="10"/>
        <color rgb="FF808080"/>
        <rFont val="Arial"/>
        <family val="0"/>
        <charset val="1"/>
      </rPr>
      <t xml:space="preserve">(</t>
    </r>
    <r>
      <rPr>
        <i val="true"/>
        <sz val="10"/>
        <color rgb="FF808080"/>
        <rFont val="WenQuanYi Zen Hei"/>
        <family val="2"/>
      </rPr>
      <t xml:space="preserve">샘플 데이터</t>
    </r>
    <r>
      <rPr>
        <i val="true"/>
        <sz val="10"/>
        <color rgb="FF808080"/>
        <rFont val="Arial"/>
        <family val="0"/>
        <charset val="1"/>
      </rPr>
      <t xml:space="preserve">). </t>
    </r>
    <r>
      <rPr>
        <i val="true"/>
        <sz val="10"/>
        <color rgb="FF808080"/>
        <rFont val="WenQuanYi Zen Hei"/>
        <family val="2"/>
      </rPr>
      <t xml:space="preserve">파란 글씨 </t>
    </r>
    <r>
      <rPr>
        <i val="true"/>
        <sz val="10"/>
        <color rgb="FF808080"/>
        <rFont val="Arial"/>
        <family val="0"/>
        <charset val="1"/>
      </rPr>
      <t xml:space="preserve">= </t>
    </r>
    <r>
      <rPr>
        <i val="true"/>
        <sz val="10"/>
        <color rgb="FF808080"/>
        <rFont val="WenQuanYi Zen Hei"/>
        <family val="2"/>
      </rPr>
      <t xml:space="preserve">입력값</t>
    </r>
    <r>
      <rPr>
        <i val="true"/>
        <sz val="10"/>
        <color rgb="FF808080"/>
        <rFont val="Arial"/>
        <family val="0"/>
        <charset val="1"/>
      </rPr>
      <t xml:space="preserve">.</t>
    </r>
  </si>
  <si>
    <t xml:space="preserve">계정코드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</si>
  <si>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</si>
  <si>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</si>
  <si>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</si>
  <si>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</si>
  <si>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</si>
  <si>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</si>
  <si>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</si>
  <si>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</si>
  <si>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</si>
  <si>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</si>
  <si>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</si>
  <si>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월</t>
    </r>
  </si>
  <si>
    <t xml:space="preserve">연간 합계</t>
  </si>
  <si>
    <t xml:space="preserve">제품매출</t>
  </si>
  <si>
    <t xml:space="preserve">상품매출</t>
  </si>
  <si>
    <t xml:space="preserve">용역매출</t>
  </si>
  <si>
    <t xml:space="preserve">원재료비</t>
  </si>
  <si>
    <t xml:space="preserve">외주가공비</t>
  </si>
  <si>
    <t xml:space="preserve">급여</t>
  </si>
  <si>
    <t xml:space="preserve">퇴직급여</t>
  </si>
  <si>
    <t xml:space="preserve">복리후생비</t>
  </si>
  <si>
    <t xml:space="preserve">여비교통비</t>
  </si>
  <si>
    <t xml:space="preserve">접대비</t>
  </si>
  <si>
    <t xml:space="preserve">광고선전비</t>
  </si>
  <si>
    <t xml:space="preserve">지급수수료</t>
  </si>
  <si>
    <t xml:space="preserve">감가상각비</t>
  </si>
  <si>
    <t xml:space="preserve">임차료</t>
  </si>
  <si>
    <t xml:space="preserve">운반비</t>
  </si>
  <si>
    <t xml:space="preserve">연구개발비</t>
  </si>
  <si>
    <t xml:space="preserve">실적 데이터</t>
  </si>
  <si>
    <r>
      <rPr>
        <i val="true"/>
        <sz val="10"/>
        <color rgb="FF808080"/>
        <rFont val="Arial"/>
        <family val="0"/>
        <charset val="1"/>
      </rPr>
      <t xml:space="preserve">ERP </t>
    </r>
    <r>
      <rPr>
        <i val="true"/>
        <sz val="10"/>
        <color rgb="FF808080"/>
        <rFont val="WenQuanYi Zen Hei"/>
        <family val="2"/>
      </rPr>
      <t xml:space="preserve">실적을 </t>
    </r>
    <r>
      <rPr>
        <i val="true"/>
        <sz val="10"/>
        <color rgb="FF808080"/>
        <rFont val="Arial"/>
        <family val="0"/>
        <charset val="1"/>
      </rPr>
      <t xml:space="preserve">5</t>
    </r>
    <r>
      <rPr>
        <i val="true"/>
        <sz val="10"/>
        <color rgb="FF808080"/>
        <rFont val="WenQuanYi Zen Hei"/>
        <family val="2"/>
      </rPr>
      <t xml:space="preserve">행부터 붙여넣으세요 </t>
    </r>
    <r>
      <rPr>
        <i val="true"/>
        <sz val="10"/>
        <color rgb="FF808080"/>
        <rFont val="Arial"/>
        <family val="0"/>
        <charset val="1"/>
      </rPr>
      <t xml:space="preserve">(</t>
    </r>
    <r>
      <rPr>
        <i val="true"/>
        <sz val="10"/>
        <color rgb="FF808080"/>
        <rFont val="WenQuanYi Zen Hei"/>
        <family val="2"/>
      </rPr>
      <t xml:space="preserve">샘플</t>
    </r>
    <r>
      <rPr>
        <i val="true"/>
        <sz val="10"/>
        <color rgb="FF808080"/>
        <rFont val="Arial"/>
        <family val="0"/>
        <charset val="1"/>
      </rPr>
      <t xml:space="preserve">: 1~9</t>
    </r>
    <r>
      <rPr>
        <i val="true"/>
        <sz val="10"/>
        <color rgb="FF808080"/>
        <rFont val="WenQuanYi Zen Hei"/>
        <family val="2"/>
      </rPr>
      <t xml:space="preserve">월</t>
    </r>
    <r>
      <rPr>
        <i val="true"/>
        <sz val="10"/>
        <color rgb="FF808080"/>
        <rFont val="Arial"/>
        <family val="0"/>
        <charset val="1"/>
      </rPr>
      <t xml:space="preserve">). </t>
    </r>
    <r>
      <rPr>
        <i val="true"/>
        <sz val="10"/>
        <color rgb="FF808080"/>
        <rFont val="WenQuanYi Zen Hei"/>
        <family val="2"/>
      </rPr>
      <t xml:space="preserve">계정 순서는 예산과 달라도 됩니다</t>
    </r>
    <r>
      <rPr>
        <i val="true"/>
        <sz val="10"/>
        <color rgb="FF808080"/>
        <rFont val="Arial"/>
        <family val="0"/>
        <charset val="1"/>
      </rPr>
      <t xml:space="preserve">.</t>
    </r>
  </si>
  <si>
    <r>
      <rPr>
        <i val="true"/>
        <sz val="10"/>
        <color rgb="FF808080"/>
        <rFont val="Arial"/>
        <family val="0"/>
        <charset val="1"/>
      </rPr>
      <t xml:space="preserve">O</t>
    </r>
    <r>
      <rPr>
        <i val="true"/>
        <sz val="10"/>
        <color rgb="FF808080"/>
        <rFont val="WenQuanYi Zen Hei"/>
        <family val="2"/>
      </rPr>
      <t xml:space="preserve">열</t>
    </r>
    <r>
      <rPr>
        <i val="true"/>
        <sz val="10"/>
        <color rgb="FF808080"/>
        <rFont val="Arial"/>
        <family val="0"/>
        <charset val="1"/>
      </rPr>
      <t xml:space="preserve">(</t>
    </r>
    <r>
      <rPr>
        <i val="true"/>
        <sz val="10"/>
        <color rgb="FF808080"/>
        <rFont val="WenQuanYi Zen Hei"/>
        <family val="2"/>
      </rPr>
      <t xml:space="preserve">노란 칸</t>
    </r>
    <r>
      <rPr>
        <i val="true"/>
        <sz val="10"/>
        <color rgb="FF808080"/>
        <rFont val="Arial"/>
        <family val="0"/>
        <charset val="1"/>
      </rPr>
      <t xml:space="preserve">)</t>
    </r>
    <r>
      <rPr>
        <i val="true"/>
        <sz val="10"/>
        <color rgb="FF808080"/>
        <rFont val="WenQuanYi Zen Hei"/>
        <family val="2"/>
      </rPr>
      <t xml:space="preserve">에 원인을 적으면 </t>
    </r>
    <r>
      <rPr>
        <i val="true"/>
        <sz val="10"/>
        <color rgb="FF808080"/>
        <rFont val="Arial"/>
        <family val="0"/>
        <charset val="1"/>
      </rPr>
      <t xml:space="preserve">P</t>
    </r>
    <r>
      <rPr>
        <i val="true"/>
        <sz val="10"/>
        <color rgb="FF808080"/>
        <rFont val="WenQuanYi Zen Hei"/>
        <family val="2"/>
      </rPr>
      <t xml:space="preserve">열 코멘트 초안이 완성됩니다</t>
    </r>
    <r>
      <rPr>
        <i val="true"/>
        <sz val="10"/>
        <color rgb="FF808080"/>
        <rFont val="Arial"/>
        <family val="0"/>
        <charset val="1"/>
      </rPr>
      <t xml:space="preserve">. </t>
    </r>
    <r>
      <rPr>
        <i val="true"/>
        <sz val="10"/>
        <color rgb="FF808080"/>
        <rFont val="WenQuanYi Zen Hei"/>
        <family val="2"/>
      </rPr>
      <t xml:space="preserve">나머지는 모두 자동 계산</t>
    </r>
    <r>
      <rPr>
        <i val="true"/>
        <sz val="10"/>
        <color rgb="FF808080"/>
        <rFont val="Arial"/>
        <family val="0"/>
        <charset val="1"/>
      </rPr>
      <t xml:space="preserve">.</t>
    </r>
  </si>
  <si>
    <t xml:space="preserve">계정</t>
  </si>
  <si>
    <t xml:space="preserve">당월</t>
  </si>
  <si>
    <r>
      <rPr>
        <b val="true"/>
        <sz val="10"/>
        <rFont val="WenQuanYi Zen Hei"/>
        <family val="2"/>
      </rPr>
      <t xml:space="preserve">누적 </t>
    </r>
    <r>
      <rPr>
        <b val="true"/>
        <sz val="10"/>
        <rFont val="Arial"/>
        <family val="0"/>
        <charset val="1"/>
      </rPr>
      <t xml:space="preserve">(YTD)</t>
    </r>
  </si>
  <si>
    <t xml:space="preserve">코멘트</t>
  </si>
  <si>
    <r>
      <rPr>
        <b val="true"/>
        <sz val="10"/>
        <color rgb="FFFFFFFF"/>
        <rFont val="WenQuanYi Zen Hei"/>
        <family val="2"/>
      </rPr>
      <t xml:space="preserve">차이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실적−예산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</si>
  <si>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중요
차이</t>
  </si>
  <si>
    <r>
      <rPr>
        <b val="true"/>
        <sz val="10"/>
        <color rgb="FFFFFFFF"/>
        <rFont val="WenQuanYi Zen Hei"/>
        <family val="2"/>
      </rPr>
      <t xml:space="preserve">원인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입력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</si>
  <si>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정렬용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자동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</si>
  <si>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온라인 캠페인 조기 집행 </t>
    </r>
    <r>
      <rPr>
        <sz val="10"/>
        <color rgb="FF0000FF"/>
        <rFont val="Arial"/>
        <family val="0"/>
        <charset val="1"/>
      </rPr>
      <t xml:space="preserve">(10</t>
    </r>
    <r>
      <rPr>
        <sz val="10"/>
        <color rgb="FF0000FF"/>
        <rFont val="WenQuanYi Zen Hei"/>
        <family val="2"/>
      </rPr>
      <t xml:space="preserve">월 예산분 선반영</t>
    </r>
    <r>
      <rPr>
        <sz val="10"/>
        <color rgb="FF0000FF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</si>
</sst>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@"/>
    <numFmt numFmtId="168" formatCode="#,##0"/>
    <numFmt numFmtId="169" formatCode="0.0%"/>
    <numFmt numFmtId="170" formatCode="General"/>
    <numFmt numFmtId="171" formatCode="0.000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10"/>
      <color rgb="FF808080"/>
      <name val="WenQuanYi Zen Hei"/>
      <family val="2"/>
    </font>
    <font>
      <sz val="10"/>
      <color rgb="FFA6A6A6"/>
      <name val="WenQuanYi Zen Hei"/>
      <family val="2"/>
    </font>
    <font>
      <sz val="10"/>
      <color rgb="FFA6A6A6"/>
      <name val="Arial"/>
      <family val="0"/>
      <charset val="1"/>
    </font>
    <font>
      <sz val="10"/>
      <color rgb="FF008000"/>
      <name val="WenQuanYi Zen Hei"/>
      <family val="2"/>
    </font>
    <font>
      <sz val="11"/>
      <color theme="1"/>
      <name val="WenQuanYi Zen Hei"/>
      <family val="2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charset val="1"/>
        <family val="0"/>
        <b val="1"/>
        <color rgb="FF008000"/>
      </font>
    </dxf>
    <dxf>
      <font>
        <name val="Arial"/>
        <charset val="1"/>
        <family val="0"/>
        <b val="1"/>
        <color rgb="FFC00000"/>
      </font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4.15" hidden="false" customHeight="false" outlineLevel="0" collapsed="false">
      <c r="A3" s="3" t="s">
        <v>1</v>
      </c>
    </row>
    <row r="4" customFormat="false" ht="14.15" hidden="false" customHeight="false" outlineLevel="0" collapsed="false">
      <c r="A4" s="2" t="s">
        <v>2</v>
      </c>
    </row>
    <row r="5" customFormat="false" ht="14.15" hidden="false" customHeight="false" outlineLevel="0" collapsed="false">
      <c r="A5" s="2" t="s">
        <v>3</v>
      </c>
    </row>
    <row r="6" customFormat="false" ht="14.15" hidden="false" customHeight="false" outlineLevel="0" collapsed="false">
      <c r="A6" s="2" t="s">
        <v>4</v>
      </c>
    </row>
    <row r="7" customFormat="false" ht="14.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4.15" hidden="false" customHeight="false" outlineLevel="0" collapsed="false">
      <c r="A9" s="3" t="s">
        <v>6</v>
      </c>
    </row>
    <row r="10" customFormat="false" ht="14.15" hidden="false" customHeight="false" outlineLevel="0" collapsed="false">
      <c r="A10" s="4" t="s">
        <v>7</v>
      </c>
    </row>
    <row r="11" customFormat="false" ht="14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4.15" hidden="false" customHeight="false" outlineLevel="0" collapsed="false">
      <c r="A13" s="3" t="s">
        <v>9</v>
      </c>
    </row>
    <row r="14" customFormat="false" ht="14.15" hidden="false" customHeight="false" outlineLevel="0" collapsed="false">
      <c r="A14" s="2" t="s">
        <v>10</v>
      </c>
    </row>
    <row r="15" customFormat="false" ht="14.15" hidden="false" customHeight="false" outlineLevel="0" collapsed="false">
      <c r="A15" s="4" t="s">
        <v>11</v>
      </c>
    </row>
    <row r="16" customFormat="false" ht="14.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2"/>
    </row>
    <row r="18" customFormat="false" ht="14.15" hidden="false" customHeight="false" outlineLevel="0" collapsed="false">
      <c r="A18" s="3" t="s">
        <v>13</v>
      </c>
    </row>
    <row r="19" customFormat="false" ht="14.15" hidden="false" customHeight="false" outlineLevel="0" collapsed="false">
      <c r="A19" s="4" t="s">
        <v>14</v>
      </c>
    </row>
    <row r="20" customFormat="false" ht="14.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2"/>
    </row>
    <row r="22" customFormat="false" ht="14.15" hidden="false" customHeight="false" outlineLevel="0" collapsed="false">
      <c r="A22" s="3" t="s">
        <v>16</v>
      </c>
    </row>
    <row r="23" customFormat="false" ht="14.15" hidden="false" customHeight="false" outlineLevel="0" collapsed="false">
      <c r="A23" s="2" t="s">
        <v>17</v>
      </c>
    </row>
    <row r="24" customFormat="false" ht="14.15" hidden="false" customHeight="false" outlineLevel="0" collapsed="false">
      <c r="A24" s="2" t="s">
        <v>18</v>
      </c>
    </row>
    <row r="25" customFormat="false" ht="14.15" hidden="false" customHeight="false" outlineLevel="0" collapsed="false">
      <c r="A25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8" min="3" style="0" width="10"/>
    <col collapsed="false" customWidth="true" hidden="false" outlineLevel="0" max="9" min="9" style="0" width="14"/>
    <col collapsed="false" customWidth="true" hidden="false" outlineLevel="0" max="13" min="10" style="0" width="10"/>
    <col collapsed="false" customWidth="true" hidden="false" outlineLevel="0" max="14" min="14" style="0" width="8"/>
  </cols>
  <sheetData>
    <row r="1" customFormat="false" ht="19.4" hidden="false" customHeight="false" outlineLevel="0" collapsed="false">
      <c r="A1" s="1" t="str">
        <f aca="false">"BvA 요약 — "&amp;설정!$B$3&amp;"년 "&amp;설정!$B$4&amp;"월  (단위: "&amp;설정!$B$7&amp;")"</f>
        <v>BvA 요약 — 2026년 9월  (단위: 백만원)</v>
      </c>
    </row>
    <row r="3" customFormat="false" ht="15" hidden="false" customHeight="false" outlineLevel="0" collapsed="false">
      <c r="A3" s="3" t="s">
        <v>20</v>
      </c>
    </row>
    <row r="4" customFormat="false" ht="15" hidden="false" customHeight="fals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5" t="s">
        <v>26</v>
      </c>
    </row>
    <row r="5" customFormat="false" ht="15" hidden="false" customHeight="false" outlineLevel="0" collapsed="false">
      <c r="A5" s="7" t="s">
        <v>31</v>
      </c>
      <c r="B5" s="8" t="n">
        <f aca="false">SUMIFS(BvA분석!$D$5:$D$204,BvA분석!$C$5:$C$204,"매출")</f>
        <v>1699</v>
      </c>
      <c r="C5" s="8" t="n">
        <f aca="false">SUMIFS(BvA분석!$E$5:$E$204,BvA분석!$C$5:$C$204,"매출")</f>
        <v>1569</v>
      </c>
      <c r="D5" s="9" t="n">
        <f aca="false">C5-B5</f>
        <v>-130</v>
      </c>
      <c r="E5" s="10" t="n">
        <f aca="false">IF(B5=0,"n/a",D5/ABS(B5))</f>
        <v>-0.0765155974102413</v>
      </c>
      <c r="F5" s="11" t="str">
        <f aca="false">IF(D5=0,"-",IF(("매출"="매출")=(D5&gt;0),"유리","불리"))</f>
        <v>불리</v>
      </c>
      <c r="G5" s="8" t="n">
        <f aca="false">SUMIFS(BvA분석!$I$5:$I$204,BvA분석!$C$5:$C$204,"매출")</f>
        <v>14636</v>
      </c>
      <c r="H5" s="8" t="n">
        <f aca="false">SUMIFS(BvA분석!$J$5:$J$204,BvA분석!$C$5:$C$204,"매출")</f>
        <v>14270</v>
      </c>
      <c r="I5" s="9" t="n">
        <f aca="false">H5-G5</f>
        <v>-366</v>
      </c>
      <c r="J5" s="10" t="n">
        <f aca="false">IF(G5=0,"n/a",I5/ABS(G5))</f>
        <v>-0.0250068324678874</v>
      </c>
      <c r="K5" s="11" t="str">
        <f aca="false">IF(I5=0,"-",IF(("매출"="매출")=(I5&gt;0),"유리","불리"))</f>
        <v>불리</v>
      </c>
    </row>
    <row r="6" customFormat="false" ht="15" hidden="false" customHeight="false" outlineLevel="0" collapsed="false">
      <c r="A6" s="7" t="s">
        <v>32</v>
      </c>
      <c r="B6" s="8" t="n">
        <f aca="false">SUMIFS(BvA분석!$D$5:$D$204,BvA분석!$C$5:$C$204,"비용")</f>
        <v>1308</v>
      </c>
      <c r="C6" s="8" t="n">
        <f aca="false">SUMIFS(BvA분석!$E$5:$E$204,BvA분석!$C$5:$C$204,"비용")</f>
        <v>1431</v>
      </c>
      <c r="D6" s="9" t="n">
        <f aca="false">C6-B6</f>
        <v>123</v>
      </c>
      <c r="E6" s="10" t="n">
        <f aca="false">IF(B6=0,"n/a",D6/ABS(B6))</f>
        <v>0.0940366972477064</v>
      </c>
      <c r="F6" s="11" t="str">
        <f aca="false">IF(D6=0,"-",IF(("비용"="매출")=(D6&gt;0),"유리","불리"))</f>
        <v>불리</v>
      </c>
      <c r="G6" s="8" t="n">
        <f aca="false">SUMIFS(BvA분석!$I$5:$I$204,BvA분석!$C$5:$C$204,"비용")</f>
        <v>11263</v>
      </c>
      <c r="H6" s="8" t="n">
        <f aca="false">SUMIFS(BvA분석!$J$5:$J$204,BvA분석!$C$5:$C$204,"비용")</f>
        <v>11353</v>
      </c>
      <c r="I6" s="9" t="n">
        <f aca="false">H6-G6</f>
        <v>90</v>
      </c>
      <c r="J6" s="10" t="n">
        <f aca="false">IF(G6=0,"n/a",I6/ABS(G6))</f>
        <v>0.00799076622569475</v>
      </c>
      <c r="K6" s="11" t="str">
        <f aca="false">IF(I6=0,"-",IF(("비용"="매출")=(I6&gt;0),"유리","불리"))</f>
        <v>불리</v>
      </c>
    </row>
    <row r="7" customFormat="false" ht="15" hidden="false" customHeight="false" outlineLevel="0" collapsed="false">
      <c r="A7" s="12" t="s">
        <v>33</v>
      </c>
      <c r="B7" s="13" t="n">
        <f aca="false">B5-B6</f>
        <v>391</v>
      </c>
      <c r="C7" s="13" t="n">
        <f aca="false">C5-C6</f>
        <v>138</v>
      </c>
      <c r="D7" s="13" t="n">
        <f aca="false">C7-B7</f>
        <v>-253</v>
      </c>
      <c r="E7" s="14" t="n">
        <f aca="false">IF(B7=0,"n/a",D7/ABS(B7))</f>
        <v>-0.647058823529412</v>
      </c>
      <c r="F7" s="15" t="str">
        <f aca="false">IF(D7=0,"-",IF(("매출"="매출")=(D7&gt;0),"유리","불리"))</f>
        <v>불리</v>
      </c>
      <c r="G7" s="13" t="n">
        <f aca="false">G5-G6</f>
        <v>3373</v>
      </c>
      <c r="H7" s="13" t="n">
        <f aca="false">H5-H6</f>
        <v>2917</v>
      </c>
      <c r="I7" s="13" t="n">
        <f aca="false">H7-G7</f>
        <v>-456</v>
      </c>
      <c r="J7" s="14" t="n">
        <f aca="false">IF(G7=0,"n/a",I7/ABS(G7))</f>
        <v>-0.135191224429291</v>
      </c>
      <c r="K7" s="15" t="str">
        <f aca="false">IF(I7=0,"-",IF(("매출"="매출")=(I7&gt;0),"유리","불리"))</f>
        <v>불리</v>
      </c>
    </row>
    <row r="8" customFormat="false" ht="15" hidden="false" customHeight="false" outlineLevel="0" collapsed="false">
      <c r="A8" s="7" t="s">
        <v>34</v>
      </c>
      <c r="B8" s="16" t="n">
        <f aca="false">IF(B5=0,0,B7/B5)</f>
        <v>0.230135373749264</v>
      </c>
      <c r="C8" s="16" t="n">
        <f aca="false">IF(C5=0,0,C7/C5)</f>
        <v>0.0879541108986616</v>
      </c>
      <c r="D8" s="16" t="n">
        <f aca="false">C8-B8</f>
        <v>-0.142181262850603</v>
      </c>
      <c r="E8" s="17" t="s">
        <v>35</v>
      </c>
      <c r="F8" s="18"/>
      <c r="G8" s="16" t="n">
        <f aca="false">IF(G5=0,0,G7/G5)</f>
        <v>0.230459141842033</v>
      </c>
      <c r="H8" s="16" t="n">
        <f aca="false">IF(H5=0,0,H7/H5)</f>
        <v>0.204414856341976</v>
      </c>
      <c r="I8" s="16" t="n">
        <f aca="false">H8-G8</f>
        <v>-0.0260442855000572</v>
      </c>
      <c r="J8" s="17" t="s">
        <v>35</v>
      </c>
      <c r="K8" s="18"/>
    </row>
    <row r="10" customFormat="false" ht="15" hidden="false" customHeight="false" outlineLevel="0" collapsed="false">
      <c r="A10" s="3" t="str">
        <f aca="false">"[당월 주요 차이 TOP 20]  기준: |차이| ≥ "&amp;설정!$B$5&amp;" "&amp;설정!$B$7&amp;" 그리고 |차이%| ≥ "&amp;TEXT(설정!$B$6,"0%")&amp;"  (|차이| 큰 순)"</f>
        <v>[당월 주요 차이 TOP 20]  기준: |차이| ≥ 50 백만원 그리고 |차이%| ≥ 10%  (|차이| 큰 순)</v>
      </c>
      <c r="M10" s="3" t="str">
        <f aca="false">"중요 차이 "&amp;COUNTIF(BvA분석!$N$5:$N$204,"●")&amp;"건"</f>
        <v>중요 차이 3건</v>
      </c>
    </row>
    <row r="11" customFormat="false" ht="15" hidden="false" customHeight="true" outlineLevel="0" collapsed="false">
      <c r="A11" s="5" t="s">
        <v>36</v>
      </c>
      <c r="B11" s="5" t="s">
        <v>37</v>
      </c>
      <c r="C11" s="5" t="s">
        <v>21</v>
      </c>
      <c r="D11" s="5" t="s">
        <v>38</v>
      </c>
      <c r="E11" s="5" t="s">
        <v>39</v>
      </c>
      <c r="F11" s="5" t="s">
        <v>24</v>
      </c>
      <c r="G11" s="5" t="s">
        <v>25</v>
      </c>
      <c r="H11" s="5" t="s">
        <v>26</v>
      </c>
      <c r="I11" s="5" t="s">
        <v>40</v>
      </c>
      <c r="J11" s="5"/>
      <c r="K11" s="5"/>
      <c r="L11" s="5"/>
      <c r="M11" s="5"/>
      <c r="N11" s="19" t="s">
        <v>41</v>
      </c>
    </row>
    <row r="12" customFormat="false" ht="27.75" hidden="false" customHeight="true" outlineLevel="0" collapsed="false">
      <c r="A12" s="18" t="n">
        <v>1</v>
      </c>
      <c r="B12" s="20" t="str">
        <f aca="false">IF($N12="","",INDEX(BvA분석!$B$5:$B$204,$N12))</f>
        <v>제품매출</v>
      </c>
      <c r="C12" s="21" t="str">
        <f aca="false">IF($N12="","",INDEX(BvA분석!$C$5:$C$204,$N12))</f>
        <v>매출</v>
      </c>
      <c r="D12" s="8" t="n">
        <f aca="false">IF($N12="","",INDEX(BvA분석!$D$5:$D$204,$N12))</f>
        <v>1236</v>
      </c>
      <c r="E12" s="8" t="n">
        <f aca="false">IF($N12="","",INDEX(BvA분석!$E$5:$E$204,$N12))</f>
        <v>1051</v>
      </c>
      <c r="F12" s="8" t="n">
        <f aca="false">IF($N12="","",INDEX(BvA분석!$F$5:$F$204,$N12))</f>
        <v>-185</v>
      </c>
      <c r="G12" s="22" t="n">
        <f aca="false">IF($N12="","",INDEX(BvA분석!$G$5:$G$204,$N12))</f>
        <v>-0.149676375404531</v>
      </c>
      <c r="H12" s="21" t="str">
        <f aca="false">IF($N12="","",INDEX(BvA분석!$H$5:$H$204,$N12))</f>
        <v>불리</v>
      </c>
      <c r="I12" s="23" t="str">
        <f aca="false">IF($N12="","",INDEX(BvA분석!$P$5:$P$204,$N12))</f>
        <v>제품매출: 당월 실적 1,051백만원으로 예산 대비 185백만원(15.0%) 하회 [불리]. 원인: ___</v>
      </c>
      <c r="J12" s="23"/>
      <c r="K12" s="23"/>
      <c r="L12" s="23"/>
      <c r="M12" s="23"/>
      <c r="N12" s="19" t="n">
        <f aca="false">IF(1&gt;COUNT(BvA분석!$Q$5:$Q$204),"",IF(LARGE(BvA분석!$Q$5:$Q$204,1)=0,"",MATCH(LARGE(BvA분석!$Q$5:$Q$204,1),BvA분석!$Q$5:$Q$204,0)))</f>
        <v>1</v>
      </c>
    </row>
    <row r="13" customFormat="false" ht="27.75" hidden="false" customHeight="true" outlineLevel="0" collapsed="false">
      <c r="A13" s="18" t="n">
        <v>2</v>
      </c>
      <c r="B13" s="20" t="str">
        <f aca="false">IF($N13="","",INDEX(BvA분석!$B$5:$B$204,$N13))</f>
        <v>원재료비</v>
      </c>
      <c r="C13" s="21" t="str">
        <f aca="false">IF($N13="","",INDEX(BvA분석!$C$5:$C$204,$N13))</f>
        <v>비용</v>
      </c>
      <c r="D13" s="8" t="n">
        <f aca="false">IF($N13="","",INDEX(BvA분석!$D$5:$D$204,$N13))</f>
        <v>515</v>
      </c>
      <c r="E13" s="8" t="n">
        <f aca="false">IF($N13="","",INDEX(BvA분석!$E$5:$E$204,$N13))</f>
        <v>587</v>
      </c>
      <c r="F13" s="8" t="n">
        <f aca="false">IF($N13="","",INDEX(BvA분석!$F$5:$F$204,$N13))</f>
        <v>72</v>
      </c>
      <c r="G13" s="22" t="n">
        <f aca="false">IF($N13="","",INDEX(BvA분석!$G$5:$G$204,$N13))</f>
        <v>0.139805825242718</v>
      </c>
      <c r="H13" s="21" t="str">
        <f aca="false">IF($N13="","",INDEX(BvA분석!$H$5:$H$204,$N13))</f>
        <v>불리</v>
      </c>
      <c r="I13" s="23" t="str">
        <f aca="false">IF($N13="","",INDEX(BvA분석!$P$5:$P$204,$N13))</f>
        <v>원재료비: 당월 실적 587백만원으로 예산 대비 72백만원(14.0%) 초과 [불리]. 원인: ___</v>
      </c>
      <c r="J13" s="23"/>
      <c r="K13" s="23"/>
      <c r="L13" s="23"/>
      <c r="M13" s="23"/>
      <c r="N13" s="19" t="n">
        <f aca="false">IF(2&gt;COUNT(BvA분석!$Q$5:$Q$204),"",IF(LARGE(BvA분석!$Q$5:$Q$204,2)=0,"",MATCH(LARGE(BvA분석!$Q$5:$Q$204,2),BvA분석!$Q$5:$Q$204,0)))</f>
        <v>4</v>
      </c>
    </row>
    <row r="14" customFormat="false" ht="27.75" hidden="false" customHeight="true" outlineLevel="0" collapsed="false">
      <c r="A14" s="18" t="n">
        <v>3</v>
      </c>
      <c r="B14" s="20" t="str">
        <f aca="false">IF($N14="","",INDEX(BvA분석!$B$5:$B$204,$N14))</f>
        <v>광고선전비</v>
      </c>
      <c r="C14" s="21" t="str">
        <f aca="false">IF($N14="","",INDEX(BvA분석!$C$5:$C$204,$N14))</f>
        <v>비용</v>
      </c>
      <c r="D14" s="8" t="n">
        <f aca="false">IF($N14="","",INDEX(BvA분석!$D$5:$D$204,$N14))</f>
        <v>62</v>
      </c>
      <c r="E14" s="8" t="n">
        <f aca="false">IF($N14="","",INDEX(BvA분석!$E$5:$E$204,$N14))</f>
        <v>118</v>
      </c>
      <c r="F14" s="8" t="n">
        <f aca="false">IF($N14="","",INDEX(BvA분석!$F$5:$F$204,$N14))</f>
        <v>56</v>
      </c>
      <c r="G14" s="22" t="n">
        <f aca="false">IF($N14="","",INDEX(BvA분석!$G$5:$G$204,$N14))</f>
        <v>0.903225806451613</v>
      </c>
      <c r="H14" s="21" t="str">
        <f aca="false">IF($N14="","",INDEX(BvA분석!$H$5:$H$204,$N14))</f>
        <v>불리</v>
      </c>
      <c r="I14" s="23" t="str">
        <f aca="false">IF($N14="","",INDEX(BvA분석!$P$5:$P$204,$N14))</f>
        <v>광고선전비: 당월 실적 118백만원으로 예산 대비 56백만원(90.3%) 초과 [불리]. 원인: 온라인 캠페인 조기 집행 (10월 예산분 선반영)</v>
      </c>
      <c r="J14" s="23"/>
      <c r="K14" s="23"/>
      <c r="L14" s="23"/>
      <c r="M14" s="23"/>
      <c r="N14" s="19" t="n">
        <f aca="false">IF(3&gt;COUNT(BvA분석!$Q$5:$Q$204),"",IF(LARGE(BvA분석!$Q$5:$Q$204,3)=0,"",MATCH(LARGE(BvA분석!$Q$5:$Q$204,3),BvA분석!$Q$5:$Q$204,0)))</f>
        <v>11</v>
      </c>
    </row>
    <row r="15" customFormat="false" ht="27.75" hidden="false" customHeight="true" outlineLevel="0" collapsed="false">
      <c r="A15" s="18" t="n">
        <v>4</v>
      </c>
      <c r="B15" s="20" t="str">
        <f aca="false">IF($N15="","",INDEX(BvA분석!$B$5:$B$204,$N15))</f>
        <v/>
      </c>
      <c r="C15" s="21" t="str">
        <f aca="false">IF($N15="","",INDEX(BvA분석!$C$5:$C$204,$N15))</f>
        <v/>
      </c>
      <c r="D15" s="8" t="str">
        <f aca="false">IF($N15="","",INDEX(BvA분석!$D$5:$D$204,$N15))</f>
        <v/>
      </c>
      <c r="E15" s="8" t="str">
        <f aca="false">IF($N15="","",INDEX(BvA분석!$E$5:$E$204,$N15))</f>
        <v/>
      </c>
      <c r="F15" s="8" t="str">
        <f aca="false">IF($N15="","",INDEX(BvA분석!$F$5:$F$204,$N15))</f>
        <v/>
      </c>
      <c r="G15" s="22" t="str">
        <f aca="false">IF($N15="","",INDEX(BvA분석!$G$5:$G$204,$N15))</f>
        <v/>
      </c>
      <c r="H15" s="21" t="str">
        <f aca="false">IF($N15="","",INDEX(BvA분석!$H$5:$H$204,$N15))</f>
        <v/>
      </c>
      <c r="I15" s="23" t="str">
        <f aca="false">IF($N15="","",INDEX(BvA분석!$P$5:$P$204,$N15))</f>
        <v/>
      </c>
      <c r="J15" s="23"/>
      <c r="K15" s="23"/>
      <c r="L15" s="23"/>
      <c r="M15" s="23"/>
      <c r="N15" s="19" t="str">
        <f aca="false">IF(4&gt;COUNT(BvA분석!$Q$5:$Q$204),"",IF(LARGE(BvA분석!$Q$5:$Q$204,4)=0,"",MATCH(LARGE(BvA분석!$Q$5:$Q$204,4),BvA분석!$Q$5:$Q$204,0)))</f>
        <v/>
      </c>
    </row>
    <row r="16" customFormat="false" ht="27.75" hidden="false" customHeight="true" outlineLevel="0" collapsed="false">
      <c r="A16" s="18" t="n">
        <v>5</v>
      </c>
      <c r="B16" s="20" t="str">
        <f aca="false">IF($N16="","",INDEX(BvA분석!$B$5:$B$204,$N16))</f>
        <v/>
      </c>
      <c r="C16" s="21" t="str">
        <f aca="false">IF($N16="","",INDEX(BvA분석!$C$5:$C$204,$N16))</f>
        <v/>
      </c>
      <c r="D16" s="8" t="str">
        <f aca="false">IF($N16="","",INDEX(BvA분석!$D$5:$D$204,$N16))</f>
        <v/>
      </c>
      <c r="E16" s="8" t="str">
        <f aca="false">IF($N16="","",INDEX(BvA분석!$E$5:$E$204,$N16))</f>
        <v/>
      </c>
      <c r="F16" s="8" t="str">
        <f aca="false">IF($N16="","",INDEX(BvA분석!$F$5:$F$204,$N16))</f>
        <v/>
      </c>
      <c r="G16" s="22" t="str">
        <f aca="false">IF($N16="","",INDEX(BvA분석!$G$5:$G$204,$N16))</f>
        <v/>
      </c>
      <c r="H16" s="21" t="str">
        <f aca="false">IF($N16="","",INDEX(BvA분석!$H$5:$H$204,$N16))</f>
        <v/>
      </c>
      <c r="I16" s="23" t="str">
        <f aca="false">IF($N16="","",INDEX(BvA분석!$P$5:$P$204,$N16))</f>
        <v/>
      </c>
      <c r="J16" s="23"/>
      <c r="K16" s="23"/>
      <c r="L16" s="23"/>
      <c r="M16" s="23"/>
      <c r="N16" s="19" t="str">
        <f aca="false">IF(5&gt;COUNT(BvA분석!$Q$5:$Q$204),"",IF(LARGE(BvA분석!$Q$5:$Q$204,5)=0,"",MATCH(LARGE(BvA분석!$Q$5:$Q$204,5),BvA분석!$Q$5:$Q$204,0)))</f>
        <v/>
      </c>
    </row>
    <row r="17" customFormat="false" ht="27.75" hidden="false" customHeight="true" outlineLevel="0" collapsed="false">
      <c r="A17" s="18" t="n">
        <v>6</v>
      </c>
      <c r="B17" s="20" t="str">
        <f aca="false">IF($N17="","",INDEX(BvA분석!$B$5:$B$204,$N17))</f>
        <v/>
      </c>
      <c r="C17" s="21" t="str">
        <f aca="false">IF($N17="","",INDEX(BvA분석!$C$5:$C$204,$N17))</f>
        <v/>
      </c>
      <c r="D17" s="8" t="str">
        <f aca="false">IF($N17="","",INDEX(BvA분석!$D$5:$D$204,$N17))</f>
        <v/>
      </c>
      <c r="E17" s="8" t="str">
        <f aca="false">IF($N17="","",INDEX(BvA분석!$E$5:$E$204,$N17))</f>
        <v/>
      </c>
      <c r="F17" s="8" t="str">
        <f aca="false">IF($N17="","",INDEX(BvA분석!$F$5:$F$204,$N17))</f>
        <v/>
      </c>
      <c r="G17" s="22" t="str">
        <f aca="false">IF($N17="","",INDEX(BvA분석!$G$5:$G$204,$N17))</f>
        <v/>
      </c>
      <c r="H17" s="21" t="str">
        <f aca="false">IF($N17="","",INDEX(BvA분석!$H$5:$H$204,$N17))</f>
        <v/>
      </c>
      <c r="I17" s="23" t="str">
        <f aca="false">IF($N17="","",INDEX(BvA분석!$P$5:$P$204,$N17))</f>
        <v/>
      </c>
      <c r="J17" s="23"/>
      <c r="K17" s="23"/>
      <c r="L17" s="23"/>
      <c r="M17" s="23"/>
      <c r="N17" s="19" t="str">
        <f aca="false">IF(6&gt;COUNT(BvA분석!$Q$5:$Q$204),"",IF(LARGE(BvA분석!$Q$5:$Q$204,6)=0,"",MATCH(LARGE(BvA분석!$Q$5:$Q$204,6),BvA분석!$Q$5:$Q$204,0)))</f>
        <v/>
      </c>
    </row>
    <row r="18" customFormat="false" ht="27.75" hidden="false" customHeight="true" outlineLevel="0" collapsed="false">
      <c r="A18" s="18" t="n">
        <v>7</v>
      </c>
      <c r="B18" s="20" t="str">
        <f aca="false">IF($N18="","",INDEX(BvA분석!$B$5:$B$204,$N18))</f>
        <v/>
      </c>
      <c r="C18" s="21" t="str">
        <f aca="false">IF($N18="","",INDEX(BvA분석!$C$5:$C$204,$N18))</f>
        <v/>
      </c>
      <c r="D18" s="8" t="str">
        <f aca="false">IF($N18="","",INDEX(BvA분석!$D$5:$D$204,$N18))</f>
        <v/>
      </c>
      <c r="E18" s="8" t="str">
        <f aca="false">IF($N18="","",INDEX(BvA분석!$E$5:$E$204,$N18))</f>
        <v/>
      </c>
      <c r="F18" s="8" t="str">
        <f aca="false">IF($N18="","",INDEX(BvA분석!$F$5:$F$204,$N18))</f>
        <v/>
      </c>
      <c r="G18" s="22" t="str">
        <f aca="false">IF($N18="","",INDEX(BvA분석!$G$5:$G$204,$N18))</f>
        <v/>
      </c>
      <c r="H18" s="21" t="str">
        <f aca="false">IF($N18="","",INDEX(BvA분석!$H$5:$H$204,$N18))</f>
        <v/>
      </c>
      <c r="I18" s="23" t="str">
        <f aca="false">IF($N18="","",INDEX(BvA분석!$P$5:$P$204,$N18))</f>
        <v/>
      </c>
      <c r="J18" s="23"/>
      <c r="K18" s="23"/>
      <c r="L18" s="23"/>
      <c r="M18" s="23"/>
      <c r="N18" s="19" t="str">
        <f aca="false">IF(7&gt;COUNT(BvA분석!$Q$5:$Q$204),"",IF(LARGE(BvA분석!$Q$5:$Q$204,7)=0,"",MATCH(LARGE(BvA분석!$Q$5:$Q$204,7),BvA분석!$Q$5:$Q$204,0)))</f>
        <v/>
      </c>
    </row>
    <row r="19" customFormat="false" ht="27.75" hidden="false" customHeight="true" outlineLevel="0" collapsed="false">
      <c r="A19" s="18" t="n">
        <v>8</v>
      </c>
      <c r="B19" s="20" t="str">
        <f aca="false">IF($N19="","",INDEX(BvA분석!$B$5:$B$204,$N19))</f>
        <v/>
      </c>
      <c r="C19" s="21" t="str">
        <f aca="false">IF($N19="","",INDEX(BvA분석!$C$5:$C$204,$N19))</f>
        <v/>
      </c>
      <c r="D19" s="8" t="str">
        <f aca="false">IF($N19="","",INDEX(BvA분석!$D$5:$D$204,$N19))</f>
        <v/>
      </c>
      <c r="E19" s="8" t="str">
        <f aca="false">IF($N19="","",INDEX(BvA분석!$E$5:$E$204,$N19))</f>
        <v/>
      </c>
      <c r="F19" s="8" t="str">
        <f aca="false">IF($N19="","",INDEX(BvA분석!$F$5:$F$204,$N19))</f>
        <v/>
      </c>
      <c r="G19" s="22" t="str">
        <f aca="false">IF($N19="","",INDEX(BvA분석!$G$5:$G$204,$N19))</f>
        <v/>
      </c>
      <c r="H19" s="21" t="str">
        <f aca="false">IF($N19="","",INDEX(BvA분석!$H$5:$H$204,$N19))</f>
        <v/>
      </c>
      <c r="I19" s="23" t="str">
        <f aca="false">IF($N19="","",INDEX(BvA분석!$P$5:$P$204,$N19))</f>
        <v/>
      </c>
      <c r="J19" s="23"/>
      <c r="K19" s="23"/>
      <c r="L19" s="23"/>
      <c r="M19" s="23"/>
      <c r="N19" s="19" t="str">
        <f aca="false">IF(8&gt;COUNT(BvA분석!$Q$5:$Q$204),"",IF(LARGE(BvA분석!$Q$5:$Q$204,8)=0,"",MATCH(LARGE(BvA분석!$Q$5:$Q$204,8),BvA분석!$Q$5:$Q$204,0)))</f>
        <v/>
      </c>
    </row>
    <row r="20" customFormat="false" ht="27.75" hidden="false" customHeight="true" outlineLevel="0" collapsed="false">
      <c r="A20" s="18" t="n">
        <v>9</v>
      </c>
      <c r="B20" s="20" t="str">
        <f aca="false">IF($N20="","",INDEX(BvA분석!$B$5:$B$204,$N20))</f>
        <v/>
      </c>
      <c r="C20" s="21" t="str">
        <f aca="false">IF($N20="","",INDEX(BvA분석!$C$5:$C$204,$N20))</f>
        <v/>
      </c>
      <c r="D20" s="8" t="str">
        <f aca="false">IF($N20="","",INDEX(BvA분석!$D$5:$D$204,$N20))</f>
        <v/>
      </c>
      <c r="E20" s="8" t="str">
        <f aca="false">IF($N20="","",INDEX(BvA분석!$E$5:$E$204,$N20))</f>
        <v/>
      </c>
      <c r="F20" s="8" t="str">
        <f aca="false">IF($N20="","",INDEX(BvA분석!$F$5:$F$204,$N20))</f>
        <v/>
      </c>
      <c r="G20" s="22" t="str">
        <f aca="false">IF($N20="","",INDEX(BvA분석!$G$5:$G$204,$N20))</f>
        <v/>
      </c>
      <c r="H20" s="21" t="str">
        <f aca="false">IF($N20="","",INDEX(BvA분석!$H$5:$H$204,$N20))</f>
        <v/>
      </c>
      <c r="I20" s="23" t="str">
        <f aca="false">IF($N20="","",INDEX(BvA분석!$P$5:$P$204,$N20))</f>
        <v/>
      </c>
      <c r="J20" s="23"/>
      <c r="K20" s="23"/>
      <c r="L20" s="23"/>
      <c r="M20" s="23"/>
      <c r="N20" s="19" t="str">
        <f aca="false">IF(9&gt;COUNT(BvA분석!$Q$5:$Q$204),"",IF(LARGE(BvA분석!$Q$5:$Q$204,9)=0,"",MATCH(LARGE(BvA분석!$Q$5:$Q$204,9),BvA분석!$Q$5:$Q$204,0)))</f>
        <v/>
      </c>
    </row>
    <row r="21" customFormat="false" ht="27.75" hidden="false" customHeight="true" outlineLevel="0" collapsed="false">
      <c r="A21" s="18" t="n">
        <v>10</v>
      </c>
      <c r="B21" s="20" t="str">
        <f aca="false">IF($N21="","",INDEX(BvA분석!$B$5:$B$204,$N21))</f>
        <v/>
      </c>
      <c r="C21" s="21" t="str">
        <f aca="false">IF($N21="","",INDEX(BvA분석!$C$5:$C$204,$N21))</f>
        <v/>
      </c>
      <c r="D21" s="8" t="str">
        <f aca="false">IF($N21="","",INDEX(BvA분석!$D$5:$D$204,$N21))</f>
        <v/>
      </c>
      <c r="E21" s="8" t="str">
        <f aca="false">IF($N21="","",INDEX(BvA분석!$E$5:$E$204,$N21))</f>
        <v/>
      </c>
      <c r="F21" s="8" t="str">
        <f aca="false">IF($N21="","",INDEX(BvA분석!$F$5:$F$204,$N21))</f>
        <v/>
      </c>
      <c r="G21" s="22" t="str">
        <f aca="false">IF($N21="","",INDEX(BvA분석!$G$5:$G$204,$N21))</f>
        <v/>
      </c>
      <c r="H21" s="21" t="str">
        <f aca="false">IF($N21="","",INDEX(BvA분석!$H$5:$H$204,$N21))</f>
        <v/>
      </c>
      <c r="I21" s="23" t="str">
        <f aca="false">IF($N21="","",INDEX(BvA분석!$P$5:$P$204,$N21))</f>
        <v/>
      </c>
      <c r="J21" s="23"/>
      <c r="K21" s="23"/>
      <c r="L21" s="23"/>
      <c r="M21" s="23"/>
      <c r="N21" s="19" t="str">
        <f aca="false">IF(10&gt;COUNT(BvA분석!$Q$5:$Q$204),"",IF(LARGE(BvA분석!$Q$5:$Q$204,10)=0,"",MATCH(LARGE(BvA분석!$Q$5:$Q$204,10),BvA분석!$Q$5:$Q$204,0)))</f>
        <v/>
      </c>
    </row>
    <row r="22" customFormat="false" ht="27.75" hidden="false" customHeight="true" outlineLevel="0" collapsed="false">
      <c r="A22" s="18" t="n">
        <v>11</v>
      </c>
      <c r="B22" s="20" t="str">
        <f aca="false">IF($N22="","",INDEX(BvA분석!$B$5:$B$204,$N22))</f>
        <v/>
      </c>
      <c r="C22" s="21" t="str">
        <f aca="false">IF($N22="","",INDEX(BvA분석!$C$5:$C$204,$N22))</f>
        <v/>
      </c>
      <c r="D22" s="8" t="str">
        <f aca="false">IF($N22="","",INDEX(BvA분석!$D$5:$D$204,$N22))</f>
        <v/>
      </c>
      <c r="E22" s="8" t="str">
        <f aca="false">IF($N22="","",INDEX(BvA분석!$E$5:$E$204,$N22))</f>
        <v/>
      </c>
      <c r="F22" s="8" t="str">
        <f aca="false">IF($N22="","",INDEX(BvA분석!$F$5:$F$204,$N22))</f>
        <v/>
      </c>
      <c r="G22" s="22" t="str">
        <f aca="false">IF($N22="","",INDEX(BvA분석!$G$5:$G$204,$N22))</f>
        <v/>
      </c>
      <c r="H22" s="21" t="str">
        <f aca="false">IF($N22="","",INDEX(BvA분석!$H$5:$H$204,$N22))</f>
        <v/>
      </c>
      <c r="I22" s="23" t="str">
        <f aca="false">IF($N22="","",INDEX(BvA분석!$P$5:$P$204,$N22))</f>
        <v/>
      </c>
      <c r="J22" s="23"/>
      <c r="K22" s="23"/>
      <c r="L22" s="23"/>
      <c r="M22" s="23"/>
      <c r="N22" s="19" t="str">
        <f aca="false">IF(11&gt;COUNT(BvA분석!$Q$5:$Q$204),"",IF(LARGE(BvA분석!$Q$5:$Q$204,11)=0,"",MATCH(LARGE(BvA분석!$Q$5:$Q$204,11),BvA분석!$Q$5:$Q$204,0)))</f>
        <v/>
      </c>
    </row>
    <row r="23" customFormat="false" ht="27.75" hidden="false" customHeight="true" outlineLevel="0" collapsed="false">
      <c r="A23" s="18" t="n">
        <v>12</v>
      </c>
      <c r="B23" s="20" t="str">
        <f aca="false">IF($N23="","",INDEX(BvA분석!$B$5:$B$204,$N23))</f>
        <v/>
      </c>
      <c r="C23" s="21" t="str">
        <f aca="false">IF($N23="","",INDEX(BvA분석!$C$5:$C$204,$N23))</f>
        <v/>
      </c>
      <c r="D23" s="8" t="str">
        <f aca="false">IF($N23="","",INDEX(BvA분석!$D$5:$D$204,$N23))</f>
        <v/>
      </c>
      <c r="E23" s="8" t="str">
        <f aca="false">IF($N23="","",INDEX(BvA분석!$E$5:$E$204,$N23))</f>
        <v/>
      </c>
      <c r="F23" s="8" t="str">
        <f aca="false">IF($N23="","",INDEX(BvA분석!$F$5:$F$204,$N23))</f>
        <v/>
      </c>
      <c r="G23" s="22" t="str">
        <f aca="false">IF($N23="","",INDEX(BvA분석!$G$5:$G$204,$N23))</f>
        <v/>
      </c>
      <c r="H23" s="21" t="str">
        <f aca="false">IF($N23="","",INDEX(BvA분석!$H$5:$H$204,$N23))</f>
        <v/>
      </c>
      <c r="I23" s="23" t="str">
        <f aca="false">IF($N23="","",INDEX(BvA분석!$P$5:$P$204,$N23))</f>
        <v/>
      </c>
      <c r="J23" s="23"/>
      <c r="K23" s="23"/>
      <c r="L23" s="23"/>
      <c r="M23" s="23"/>
      <c r="N23" s="19" t="str">
        <f aca="false">IF(12&gt;COUNT(BvA분석!$Q$5:$Q$204),"",IF(LARGE(BvA분석!$Q$5:$Q$204,12)=0,"",MATCH(LARGE(BvA분석!$Q$5:$Q$204,12),BvA분석!$Q$5:$Q$204,0)))</f>
        <v/>
      </c>
    </row>
    <row r="24" customFormat="false" ht="27.75" hidden="false" customHeight="true" outlineLevel="0" collapsed="false">
      <c r="A24" s="18" t="n">
        <v>13</v>
      </c>
      <c r="B24" s="20" t="str">
        <f aca="false">IF($N24="","",INDEX(BvA분석!$B$5:$B$204,$N24))</f>
        <v/>
      </c>
      <c r="C24" s="21" t="str">
        <f aca="false">IF($N24="","",INDEX(BvA분석!$C$5:$C$204,$N24))</f>
        <v/>
      </c>
      <c r="D24" s="8" t="str">
        <f aca="false">IF($N24="","",INDEX(BvA분석!$D$5:$D$204,$N24))</f>
        <v/>
      </c>
      <c r="E24" s="8" t="str">
        <f aca="false">IF($N24="","",INDEX(BvA분석!$E$5:$E$204,$N24))</f>
        <v/>
      </c>
      <c r="F24" s="8" t="str">
        <f aca="false">IF($N24="","",INDEX(BvA분석!$F$5:$F$204,$N24))</f>
        <v/>
      </c>
      <c r="G24" s="22" t="str">
        <f aca="false">IF($N24="","",INDEX(BvA분석!$G$5:$G$204,$N24))</f>
        <v/>
      </c>
      <c r="H24" s="21" t="str">
        <f aca="false">IF($N24="","",INDEX(BvA분석!$H$5:$H$204,$N24))</f>
        <v/>
      </c>
      <c r="I24" s="23" t="str">
        <f aca="false">IF($N24="","",INDEX(BvA분석!$P$5:$P$204,$N24))</f>
        <v/>
      </c>
      <c r="J24" s="23"/>
      <c r="K24" s="23"/>
      <c r="L24" s="23"/>
      <c r="M24" s="23"/>
      <c r="N24" s="19" t="str">
        <f aca="false">IF(13&gt;COUNT(BvA분석!$Q$5:$Q$204),"",IF(LARGE(BvA분석!$Q$5:$Q$204,13)=0,"",MATCH(LARGE(BvA분석!$Q$5:$Q$204,13),BvA분석!$Q$5:$Q$204,0)))</f>
        <v/>
      </c>
    </row>
    <row r="25" customFormat="false" ht="27.75" hidden="false" customHeight="true" outlineLevel="0" collapsed="false">
      <c r="A25" s="18" t="n">
        <v>14</v>
      </c>
      <c r="B25" s="20" t="str">
        <f aca="false">IF($N25="","",INDEX(BvA분석!$B$5:$B$204,$N25))</f>
        <v/>
      </c>
      <c r="C25" s="21" t="str">
        <f aca="false">IF($N25="","",INDEX(BvA분석!$C$5:$C$204,$N25))</f>
        <v/>
      </c>
      <c r="D25" s="8" t="str">
        <f aca="false">IF($N25="","",INDEX(BvA분석!$D$5:$D$204,$N25))</f>
        <v/>
      </c>
      <c r="E25" s="8" t="str">
        <f aca="false">IF($N25="","",INDEX(BvA분석!$E$5:$E$204,$N25))</f>
        <v/>
      </c>
      <c r="F25" s="8" t="str">
        <f aca="false">IF($N25="","",INDEX(BvA분석!$F$5:$F$204,$N25))</f>
        <v/>
      </c>
      <c r="G25" s="22" t="str">
        <f aca="false">IF($N25="","",INDEX(BvA분석!$G$5:$G$204,$N25))</f>
        <v/>
      </c>
      <c r="H25" s="21" t="str">
        <f aca="false">IF($N25="","",INDEX(BvA분석!$H$5:$H$204,$N25))</f>
        <v/>
      </c>
      <c r="I25" s="23" t="str">
        <f aca="false">IF($N25="","",INDEX(BvA분석!$P$5:$P$204,$N25))</f>
        <v/>
      </c>
      <c r="J25" s="23"/>
      <c r="K25" s="23"/>
      <c r="L25" s="23"/>
      <c r="M25" s="23"/>
      <c r="N25" s="19" t="str">
        <f aca="false">IF(14&gt;COUNT(BvA분석!$Q$5:$Q$204),"",IF(LARGE(BvA분석!$Q$5:$Q$204,14)=0,"",MATCH(LARGE(BvA분석!$Q$5:$Q$204,14),BvA분석!$Q$5:$Q$204,0)))</f>
        <v/>
      </c>
    </row>
    <row r="26" customFormat="false" ht="27.75" hidden="false" customHeight="true" outlineLevel="0" collapsed="false">
      <c r="A26" s="18" t="n">
        <v>15</v>
      </c>
      <c r="B26" s="20" t="str">
        <f aca="false">IF($N26="","",INDEX(BvA분석!$B$5:$B$204,$N26))</f>
        <v/>
      </c>
      <c r="C26" s="21" t="str">
        <f aca="false">IF($N26="","",INDEX(BvA분석!$C$5:$C$204,$N26))</f>
        <v/>
      </c>
      <c r="D26" s="8" t="str">
        <f aca="false">IF($N26="","",INDEX(BvA분석!$D$5:$D$204,$N26))</f>
        <v/>
      </c>
      <c r="E26" s="8" t="str">
        <f aca="false">IF($N26="","",INDEX(BvA분석!$E$5:$E$204,$N26))</f>
        <v/>
      </c>
      <c r="F26" s="8" t="str">
        <f aca="false">IF($N26="","",INDEX(BvA분석!$F$5:$F$204,$N26))</f>
        <v/>
      </c>
      <c r="G26" s="22" t="str">
        <f aca="false">IF($N26="","",INDEX(BvA분석!$G$5:$G$204,$N26))</f>
        <v/>
      </c>
      <c r="H26" s="21" t="str">
        <f aca="false">IF($N26="","",INDEX(BvA분석!$H$5:$H$204,$N26))</f>
        <v/>
      </c>
      <c r="I26" s="23" t="str">
        <f aca="false">IF($N26="","",INDEX(BvA분석!$P$5:$P$204,$N26))</f>
        <v/>
      </c>
      <c r="J26" s="23"/>
      <c r="K26" s="23"/>
      <c r="L26" s="23"/>
      <c r="M26" s="23"/>
      <c r="N26" s="19" t="str">
        <f aca="false">IF(15&gt;COUNT(BvA분석!$Q$5:$Q$204),"",IF(LARGE(BvA분석!$Q$5:$Q$204,15)=0,"",MATCH(LARGE(BvA분석!$Q$5:$Q$204,15),BvA분석!$Q$5:$Q$204,0)))</f>
        <v/>
      </c>
    </row>
    <row r="27" customFormat="false" ht="27.75" hidden="false" customHeight="true" outlineLevel="0" collapsed="false">
      <c r="A27" s="18" t="n">
        <v>16</v>
      </c>
      <c r="B27" s="20" t="str">
        <f aca="false">IF($N27="","",INDEX(BvA분석!$B$5:$B$204,$N27))</f>
        <v/>
      </c>
      <c r="C27" s="21" t="str">
        <f aca="false">IF($N27="","",INDEX(BvA분석!$C$5:$C$204,$N27))</f>
        <v/>
      </c>
      <c r="D27" s="8" t="str">
        <f aca="false">IF($N27="","",INDEX(BvA분석!$D$5:$D$204,$N27))</f>
        <v/>
      </c>
      <c r="E27" s="8" t="str">
        <f aca="false">IF($N27="","",INDEX(BvA분석!$E$5:$E$204,$N27))</f>
        <v/>
      </c>
      <c r="F27" s="8" t="str">
        <f aca="false">IF($N27="","",INDEX(BvA분석!$F$5:$F$204,$N27))</f>
        <v/>
      </c>
      <c r="G27" s="22" t="str">
        <f aca="false">IF($N27="","",INDEX(BvA분석!$G$5:$G$204,$N27))</f>
        <v/>
      </c>
      <c r="H27" s="21" t="str">
        <f aca="false">IF($N27="","",INDEX(BvA분석!$H$5:$H$204,$N27))</f>
        <v/>
      </c>
      <c r="I27" s="23" t="str">
        <f aca="false">IF($N27="","",INDEX(BvA분석!$P$5:$P$204,$N27))</f>
        <v/>
      </c>
      <c r="J27" s="23"/>
      <c r="K27" s="23"/>
      <c r="L27" s="23"/>
      <c r="M27" s="23"/>
      <c r="N27" s="19" t="str">
        <f aca="false">IF(16&gt;COUNT(BvA분석!$Q$5:$Q$204),"",IF(LARGE(BvA분석!$Q$5:$Q$204,16)=0,"",MATCH(LARGE(BvA분석!$Q$5:$Q$204,16),BvA분석!$Q$5:$Q$204,0)))</f>
        <v/>
      </c>
    </row>
    <row r="28" customFormat="false" ht="27.75" hidden="false" customHeight="true" outlineLevel="0" collapsed="false">
      <c r="A28" s="18" t="n">
        <v>17</v>
      </c>
      <c r="B28" s="20" t="str">
        <f aca="false">IF($N28="","",INDEX(BvA분석!$B$5:$B$204,$N28))</f>
        <v/>
      </c>
      <c r="C28" s="21" t="str">
        <f aca="false">IF($N28="","",INDEX(BvA분석!$C$5:$C$204,$N28))</f>
        <v/>
      </c>
      <c r="D28" s="8" t="str">
        <f aca="false">IF($N28="","",INDEX(BvA분석!$D$5:$D$204,$N28))</f>
        <v/>
      </c>
      <c r="E28" s="8" t="str">
        <f aca="false">IF($N28="","",INDEX(BvA분석!$E$5:$E$204,$N28))</f>
        <v/>
      </c>
      <c r="F28" s="8" t="str">
        <f aca="false">IF($N28="","",INDEX(BvA분석!$F$5:$F$204,$N28))</f>
        <v/>
      </c>
      <c r="G28" s="22" t="str">
        <f aca="false">IF($N28="","",INDEX(BvA분석!$G$5:$G$204,$N28))</f>
        <v/>
      </c>
      <c r="H28" s="21" t="str">
        <f aca="false">IF($N28="","",INDEX(BvA분석!$H$5:$H$204,$N28))</f>
        <v/>
      </c>
      <c r="I28" s="23" t="str">
        <f aca="false">IF($N28="","",INDEX(BvA분석!$P$5:$P$204,$N28))</f>
        <v/>
      </c>
      <c r="J28" s="23"/>
      <c r="K28" s="23"/>
      <c r="L28" s="23"/>
      <c r="M28" s="23"/>
      <c r="N28" s="19" t="str">
        <f aca="false">IF(17&gt;COUNT(BvA분석!$Q$5:$Q$204),"",IF(LARGE(BvA분석!$Q$5:$Q$204,17)=0,"",MATCH(LARGE(BvA분석!$Q$5:$Q$204,17),BvA분석!$Q$5:$Q$204,0)))</f>
        <v/>
      </c>
    </row>
    <row r="29" customFormat="false" ht="27.75" hidden="false" customHeight="true" outlineLevel="0" collapsed="false">
      <c r="A29" s="18" t="n">
        <v>18</v>
      </c>
      <c r="B29" s="20" t="str">
        <f aca="false">IF($N29="","",INDEX(BvA분석!$B$5:$B$204,$N29))</f>
        <v/>
      </c>
      <c r="C29" s="21" t="str">
        <f aca="false">IF($N29="","",INDEX(BvA분석!$C$5:$C$204,$N29))</f>
        <v/>
      </c>
      <c r="D29" s="8" t="str">
        <f aca="false">IF($N29="","",INDEX(BvA분석!$D$5:$D$204,$N29))</f>
        <v/>
      </c>
      <c r="E29" s="8" t="str">
        <f aca="false">IF($N29="","",INDEX(BvA분석!$E$5:$E$204,$N29))</f>
        <v/>
      </c>
      <c r="F29" s="8" t="str">
        <f aca="false">IF($N29="","",INDEX(BvA분석!$F$5:$F$204,$N29))</f>
        <v/>
      </c>
      <c r="G29" s="22" t="str">
        <f aca="false">IF($N29="","",INDEX(BvA분석!$G$5:$G$204,$N29))</f>
        <v/>
      </c>
      <c r="H29" s="21" t="str">
        <f aca="false">IF($N29="","",INDEX(BvA분석!$H$5:$H$204,$N29))</f>
        <v/>
      </c>
      <c r="I29" s="23" t="str">
        <f aca="false">IF($N29="","",INDEX(BvA분석!$P$5:$P$204,$N29))</f>
        <v/>
      </c>
      <c r="J29" s="23"/>
      <c r="K29" s="23"/>
      <c r="L29" s="23"/>
      <c r="M29" s="23"/>
      <c r="N29" s="19" t="str">
        <f aca="false">IF(18&gt;COUNT(BvA분석!$Q$5:$Q$204),"",IF(LARGE(BvA분석!$Q$5:$Q$204,18)=0,"",MATCH(LARGE(BvA분석!$Q$5:$Q$204,18),BvA분석!$Q$5:$Q$204,0)))</f>
        <v/>
      </c>
    </row>
    <row r="30" customFormat="false" ht="27.75" hidden="false" customHeight="true" outlineLevel="0" collapsed="false">
      <c r="A30" s="18" t="n">
        <v>19</v>
      </c>
      <c r="B30" s="20" t="str">
        <f aca="false">IF($N30="","",INDEX(BvA분석!$B$5:$B$204,$N30))</f>
        <v/>
      </c>
      <c r="C30" s="21" t="str">
        <f aca="false">IF($N30="","",INDEX(BvA분석!$C$5:$C$204,$N30))</f>
        <v/>
      </c>
      <c r="D30" s="8" t="str">
        <f aca="false">IF($N30="","",INDEX(BvA분석!$D$5:$D$204,$N30))</f>
        <v/>
      </c>
      <c r="E30" s="8" t="str">
        <f aca="false">IF($N30="","",INDEX(BvA분석!$E$5:$E$204,$N30))</f>
        <v/>
      </c>
      <c r="F30" s="8" t="str">
        <f aca="false">IF($N30="","",INDEX(BvA분석!$F$5:$F$204,$N30))</f>
        <v/>
      </c>
      <c r="G30" s="22" t="str">
        <f aca="false">IF($N30="","",INDEX(BvA분석!$G$5:$G$204,$N30))</f>
        <v/>
      </c>
      <c r="H30" s="21" t="str">
        <f aca="false">IF($N30="","",INDEX(BvA분석!$H$5:$H$204,$N30))</f>
        <v/>
      </c>
      <c r="I30" s="23" t="str">
        <f aca="false">IF($N30="","",INDEX(BvA분석!$P$5:$P$204,$N30))</f>
        <v/>
      </c>
      <c r="J30" s="23"/>
      <c r="K30" s="23"/>
      <c r="L30" s="23"/>
      <c r="M30" s="23"/>
      <c r="N30" s="19" t="str">
        <f aca="false">IF(19&gt;COUNT(BvA분석!$Q$5:$Q$204),"",IF(LARGE(BvA분석!$Q$5:$Q$204,19)=0,"",MATCH(LARGE(BvA분석!$Q$5:$Q$204,19),BvA분석!$Q$5:$Q$204,0)))</f>
        <v/>
      </c>
    </row>
    <row r="31" customFormat="false" ht="27.75" hidden="false" customHeight="true" outlineLevel="0" collapsed="false">
      <c r="A31" s="18" t="n">
        <v>20</v>
      </c>
      <c r="B31" s="20" t="str">
        <f aca="false">IF($N31="","",INDEX(BvA분석!$B$5:$B$204,$N31))</f>
        <v/>
      </c>
      <c r="C31" s="21" t="str">
        <f aca="false">IF($N31="","",INDEX(BvA분석!$C$5:$C$204,$N31))</f>
        <v/>
      </c>
      <c r="D31" s="8" t="str">
        <f aca="false">IF($N31="","",INDEX(BvA분석!$D$5:$D$204,$N31))</f>
        <v/>
      </c>
      <c r="E31" s="8" t="str">
        <f aca="false">IF($N31="","",INDEX(BvA분석!$E$5:$E$204,$N31))</f>
        <v/>
      </c>
      <c r="F31" s="8" t="str">
        <f aca="false">IF($N31="","",INDEX(BvA분석!$F$5:$F$204,$N31))</f>
        <v/>
      </c>
      <c r="G31" s="22" t="str">
        <f aca="false">IF($N31="","",INDEX(BvA분석!$G$5:$G$204,$N31))</f>
        <v/>
      </c>
      <c r="H31" s="21" t="str">
        <f aca="false">IF($N31="","",INDEX(BvA분석!$H$5:$H$204,$N31))</f>
        <v/>
      </c>
      <c r="I31" s="23" t="str">
        <f aca="false">IF($N31="","",INDEX(BvA분석!$P$5:$P$204,$N31))</f>
        <v/>
      </c>
      <c r="J31" s="23"/>
      <c r="K31" s="23"/>
      <c r="L31" s="23"/>
      <c r="M31" s="23"/>
      <c r="N31" s="19" t="str">
        <f aca="false">IF(20&gt;COUNT(BvA분석!$Q$5:$Q$204),"",IF(LARGE(BvA분석!$Q$5:$Q$204,20)=0,"",MATCH(LARGE(BvA분석!$Q$5:$Q$204,20),BvA분석!$Q$5:$Q$204,0)))</f>
        <v/>
      </c>
    </row>
    <row r="33" customFormat="false" ht="15" hidden="false" customHeight="false" outlineLevel="0" collapsed="false">
      <c r="A33" s="3" t="s">
        <v>42</v>
      </c>
    </row>
    <row r="34" customFormat="false" ht="15" hidden="false" customHeight="false" outlineLevel="0" collapsed="false">
      <c r="A34" s="24" t="s">
        <v>43</v>
      </c>
      <c r="C34" s="25" t="n">
        <f aca="false">SUMPRODUCT((실적!$A$5:$A$204&lt;&gt;"")*INDEX(실적!$D$5:$O$204,0,설정!$B$4))</f>
        <v>3000</v>
      </c>
    </row>
    <row r="35" customFormat="false" ht="15" hidden="false" customHeight="false" outlineLevel="0" collapsed="false">
      <c r="A35" s="0" t="s">
        <v>44</v>
      </c>
      <c r="C35" s="25" t="n">
        <f aca="false">SUM(BvA분석!$E$5:$E$204)</f>
        <v>3000</v>
      </c>
    </row>
    <row r="36" customFormat="false" ht="15" hidden="false" customHeight="false" outlineLevel="0" collapsed="false">
      <c r="A36" s="24" t="s">
        <v>24</v>
      </c>
      <c r="C36" s="26" t="n">
        <f aca="false">C34-C35</f>
        <v>0</v>
      </c>
    </row>
  </sheetData>
  <mergeCells count="21">
    <mergeCell ref="I11:M11"/>
    <mergeCell ref="I12:M12"/>
    <mergeCell ref="I13:M13"/>
    <mergeCell ref="I14:M14"/>
    <mergeCell ref="I15:M15"/>
    <mergeCell ref="I16:M16"/>
    <mergeCell ref="I17:M17"/>
    <mergeCell ref="I18:M18"/>
    <mergeCell ref="I19:M19"/>
    <mergeCell ref="I20:M20"/>
    <mergeCell ref="I21:M21"/>
    <mergeCell ref="I22:M22"/>
    <mergeCell ref="I23:M23"/>
    <mergeCell ref="I24:M24"/>
    <mergeCell ref="I25:M25"/>
    <mergeCell ref="I26:M26"/>
    <mergeCell ref="I27:M27"/>
    <mergeCell ref="I28:M28"/>
    <mergeCell ref="I29:M29"/>
    <mergeCell ref="I30:M30"/>
    <mergeCell ref="I31:M31"/>
  </mergeCells>
  <conditionalFormatting sqref="H12:H31">
    <cfRule type="expression" priority="2" aboveAverage="0" equalAverage="0" bottom="0" percent="0" rank="0" text="" dxfId="0">
      <formula>H12="유리"</formula>
    </cfRule>
    <cfRule type="expression" priority="3" aboveAverage="0" equalAverage="0" bottom="0" percent="0" rank="0" text="" dxfId="1">
      <formula>H12="불리"</formula>
    </cfRule>
  </conditionalFormatting>
  <conditionalFormatting sqref="F5:F7">
    <cfRule type="expression" priority="4" aboveAverage="0" equalAverage="0" bottom="0" percent="0" rank="0" text="" dxfId="0">
      <formula>F5="유리"</formula>
    </cfRule>
    <cfRule type="expression" priority="5" aboveAverage="0" equalAverage="0" bottom="0" percent="0" rank="0" text="" dxfId="1">
      <formula>F5="불리"</formula>
    </cfRule>
  </conditionalFormatting>
  <conditionalFormatting sqref="K5:K7">
    <cfRule type="expression" priority="6" aboveAverage="0" equalAverage="0" bottom="0" percent="0" rank="0" text="" dxfId="0">
      <formula>K5="유리"</formula>
    </cfRule>
    <cfRule type="expression" priority="7" aboveAverage="0" equalAverage="0" bottom="0" percent="0" rank="0" text="" dxfId="1">
      <formula>K5="불리"</formula>
    </cfRule>
  </conditionalFormatting>
  <conditionalFormatting sqref="C36">
    <cfRule type="expression" priority="8" aboveAverage="0" equalAverage="0" bottom="0" percent="0" rank="0" text="" dxfId="2">
      <formula>ABS(C36)&gt;0.5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27" t="s">
        <v>45</v>
      </c>
    </row>
    <row r="3" customFormat="false" ht="15" hidden="false" customHeight="false" outlineLevel="0" collapsed="false">
      <c r="A3" s="28" t="s">
        <v>46</v>
      </c>
      <c r="B3" s="29" t="s">
        <v>47</v>
      </c>
      <c r="C3" s="30" t="s">
        <v>48</v>
      </c>
    </row>
    <row r="4" customFormat="false" ht="15" hidden="false" customHeight="false" outlineLevel="0" collapsed="false">
      <c r="A4" s="28" t="s">
        <v>49</v>
      </c>
      <c r="B4" s="31" t="n">
        <v>9</v>
      </c>
      <c r="C4" s="32" t="s">
        <v>50</v>
      </c>
    </row>
    <row r="5" customFormat="false" ht="15" hidden="false" customHeight="false" outlineLevel="0" collapsed="false">
      <c r="A5" s="28" t="s">
        <v>51</v>
      </c>
      <c r="B5" s="33" t="n">
        <v>50</v>
      </c>
      <c r="C5" s="32" t="s">
        <v>52</v>
      </c>
    </row>
    <row r="6" customFormat="false" ht="15" hidden="false" customHeight="false" outlineLevel="0" collapsed="false">
      <c r="A6" s="28" t="s">
        <v>53</v>
      </c>
      <c r="B6" s="34" t="n">
        <v>0.1</v>
      </c>
      <c r="C6" s="32" t="s">
        <v>54</v>
      </c>
    </row>
    <row r="7" customFormat="false" ht="15" hidden="false" customHeight="false" outlineLevel="0" collapsed="false">
      <c r="A7" s="28" t="s">
        <v>55</v>
      </c>
      <c r="B7" s="35" t="s">
        <v>56</v>
      </c>
      <c r="C7" s="30" t="s">
        <v>57</v>
      </c>
    </row>
  </sheetData>
  <dataValidations count="1">
    <dataValidation allowBlank="false" error="1~12 사이 숫자를 입력하세요" errorStyle="stop" operator="between" showDropDown="false" showErrorMessage="true" showInputMessage="false" sqref="B4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15" min="4" style="0" width="9"/>
    <col collapsed="false" customWidth="true" hidden="false" outlineLevel="0" max="16" min="16" style="0" width="11"/>
  </cols>
  <sheetData>
    <row r="1" customFormat="false" ht="17.35" hidden="false" customHeight="false" outlineLevel="0" collapsed="false">
      <c r="A1" s="27" t="s">
        <v>58</v>
      </c>
    </row>
    <row r="2" customFormat="false" ht="15" hidden="false" customHeight="false" outlineLevel="0" collapsed="false">
      <c r="A2" s="30" t="s">
        <v>59</v>
      </c>
    </row>
    <row r="3" customFormat="false" ht="15" hidden="false" customHeight="false" outlineLevel="0" collapsed="false">
      <c r="A3" s="36" t="str">
        <f aca="false">"단위: "&amp;설정!$B$7</f>
        <v>단위: 백만원</v>
      </c>
    </row>
    <row r="4" customFormat="false" ht="15" hidden="false" customHeight="false" outlineLevel="0" collapsed="false">
      <c r="A4" s="5" t="s">
        <v>60</v>
      </c>
      <c r="B4" s="5" t="s">
        <v>37</v>
      </c>
      <c r="C4" s="5" t="s">
        <v>21</v>
      </c>
      <c r="D4" s="6" t="s">
        <v>61</v>
      </c>
      <c r="E4" s="6" t="s">
        <v>62</v>
      </c>
      <c r="F4" s="6" t="s">
        <v>63</v>
      </c>
      <c r="G4" s="6" t="s">
        <v>64</v>
      </c>
      <c r="H4" s="6" t="s">
        <v>65</v>
      </c>
      <c r="I4" s="6" t="s">
        <v>66</v>
      </c>
      <c r="J4" s="6" t="s">
        <v>67</v>
      </c>
      <c r="K4" s="6" t="s">
        <v>68</v>
      </c>
      <c r="L4" s="6" t="s">
        <v>69</v>
      </c>
      <c r="M4" s="6" t="s">
        <v>70</v>
      </c>
      <c r="N4" s="6" t="s">
        <v>71</v>
      </c>
      <c r="O4" s="6" t="s">
        <v>72</v>
      </c>
      <c r="P4" s="5" t="s">
        <v>73</v>
      </c>
    </row>
    <row r="5" customFormat="false" ht="15" hidden="false" customHeight="false" outlineLevel="0" collapsed="false">
      <c r="A5" s="37" t="n">
        <v>4010</v>
      </c>
      <c r="B5" s="38" t="s">
        <v>74</v>
      </c>
      <c r="C5" s="38" t="s">
        <v>31</v>
      </c>
      <c r="D5" s="39" t="n">
        <v>1104</v>
      </c>
      <c r="E5" s="39" t="n">
        <v>1080</v>
      </c>
      <c r="F5" s="39" t="n">
        <v>1200</v>
      </c>
      <c r="G5" s="39" t="n">
        <v>1200</v>
      </c>
      <c r="H5" s="39" t="n">
        <v>1224</v>
      </c>
      <c r="I5" s="39" t="n">
        <v>1260</v>
      </c>
      <c r="J5" s="39" t="n">
        <v>1176</v>
      </c>
      <c r="K5" s="39" t="n">
        <v>1164</v>
      </c>
      <c r="L5" s="39" t="n">
        <v>1236</v>
      </c>
      <c r="M5" s="39" t="n">
        <v>1260</v>
      </c>
      <c r="N5" s="39" t="n">
        <v>1272</v>
      </c>
      <c r="O5" s="39" t="n">
        <v>1344</v>
      </c>
      <c r="P5" s="9" t="n">
        <f aca="false">IF(A5="","",SUM(D5:O5))</f>
        <v>14520</v>
      </c>
    </row>
    <row r="6" customFormat="false" ht="15" hidden="false" customHeight="false" outlineLevel="0" collapsed="false">
      <c r="A6" s="37" t="n">
        <v>4020</v>
      </c>
      <c r="B6" s="38" t="s">
        <v>75</v>
      </c>
      <c r="C6" s="38" t="s">
        <v>31</v>
      </c>
      <c r="D6" s="39" t="n">
        <v>276</v>
      </c>
      <c r="E6" s="39" t="n">
        <v>270</v>
      </c>
      <c r="F6" s="39" t="n">
        <v>300</v>
      </c>
      <c r="G6" s="39" t="n">
        <v>300</v>
      </c>
      <c r="H6" s="39" t="n">
        <v>306</v>
      </c>
      <c r="I6" s="39" t="n">
        <v>315</v>
      </c>
      <c r="J6" s="39" t="n">
        <v>294</v>
      </c>
      <c r="K6" s="39" t="n">
        <v>291</v>
      </c>
      <c r="L6" s="39" t="n">
        <v>309</v>
      </c>
      <c r="M6" s="39" t="n">
        <v>315</v>
      </c>
      <c r="N6" s="39" t="n">
        <v>318</v>
      </c>
      <c r="O6" s="39" t="n">
        <v>336</v>
      </c>
      <c r="P6" s="9" t="n">
        <f aca="false">IF(A6="","",SUM(D6:O6))</f>
        <v>3630</v>
      </c>
    </row>
    <row r="7" customFormat="false" ht="15" hidden="false" customHeight="false" outlineLevel="0" collapsed="false">
      <c r="A7" s="37" t="n">
        <v>4030</v>
      </c>
      <c r="B7" s="38" t="s">
        <v>76</v>
      </c>
      <c r="C7" s="38" t="s">
        <v>31</v>
      </c>
      <c r="D7" s="39" t="n">
        <v>138</v>
      </c>
      <c r="E7" s="39" t="n">
        <v>135</v>
      </c>
      <c r="F7" s="39" t="n">
        <v>150</v>
      </c>
      <c r="G7" s="39" t="n">
        <v>150</v>
      </c>
      <c r="H7" s="39" t="n">
        <v>153</v>
      </c>
      <c r="I7" s="39" t="n">
        <v>158</v>
      </c>
      <c r="J7" s="39" t="n">
        <v>147</v>
      </c>
      <c r="K7" s="39" t="n">
        <v>146</v>
      </c>
      <c r="L7" s="39" t="n">
        <v>154</v>
      </c>
      <c r="M7" s="39" t="n">
        <v>158</v>
      </c>
      <c r="N7" s="39" t="n">
        <v>159</v>
      </c>
      <c r="O7" s="39" t="n">
        <v>168</v>
      </c>
      <c r="P7" s="9" t="n">
        <f aca="false">IF(A7="","",SUM(D7:O7))</f>
        <v>1816</v>
      </c>
    </row>
    <row r="8" customFormat="false" ht="15" hidden="false" customHeight="false" outlineLevel="0" collapsed="false">
      <c r="A8" s="37" t="n">
        <v>5010</v>
      </c>
      <c r="B8" s="38" t="s">
        <v>77</v>
      </c>
      <c r="C8" s="38" t="s">
        <v>32</v>
      </c>
      <c r="D8" s="39" t="n">
        <v>460</v>
      </c>
      <c r="E8" s="39" t="n">
        <v>450</v>
      </c>
      <c r="F8" s="39" t="n">
        <v>500</v>
      </c>
      <c r="G8" s="39" t="n">
        <v>500</v>
      </c>
      <c r="H8" s="39" t="n">
        <v>510</v>
      </c>
      <c r="I8" s="39" t="n">
        <v>525</v>
      </c>
      <c r="J8" s="39" t="n">
        <v>490</v>
      </c>
      <c r="K8" s="39" t="n">
        <v>485</v>
      </c>
      <c r="L8" s="39" t="n">
        <v>515</v>
      </c>
      <c r="M8" s="39" t="n">
        <v>525</v>
      </c>
      <c r="N8" s="39" t="n">
        <v>530</v>
      </c>
      <c r="O8" s="39" t="n">
        <v>560</v>
      </c>
      <c r="P8" s="9" t="n">
        <f aca="false">IF(A8="","",SUM(D8:O8))</f>
        <v>6050</v>
      </c>
    </row>
    <row r="9" customFormat="false" ht="15" hidden="false" customHeight="false" outlineLevel="0" collapsed="false">
      <c r="A9" s="37" t="n">
        <v>5020</v>
      </c>
      <c r="B9" s="38" t="s">
        <v>78</v>
      </c>
      <c r="C9" s="38" t="s">
        <v>32</v>
      </c>
      <c r="D9" s="39" t="n">
        <v>110</v>
      </c>
      <c r="E9" s="39" t="n">
        <v>108</v>
      </c>
      <c r="F9" s="39" t="n">
        <v>120</v>
      </c>
      <c r="G9" s="39" t="n">
        <v>120</v>
      </c>
      <c r="H9" s="39" t="n">
        <v>122</v>
      </c>
      <c r="I9" s="39" t="n">
        <v>126</v>
      </c>
      <c r="J9" s="39" t="n">
        <v>118</v>
      </c>
      <c r="K9" s="39" t="n">
        <v>116</v>
      </c>
      <c r="L9" s="39" t="n">
        <v>124</v>
      </c>
      <c r="M9" s="39" t="n">
        <v>126</v>
      </c>
      <c r="N9" s="39" t="n">
        <v>127</v>
      </c>
      <c r="O9" s="39" t="n">
        <v>134</v>
      </c>
      <c r="P9" s="9" t="n">
        <f aca="false">IF(A9="","",SUM(D9:O9))</f>
        <v>1451</v>
      </c>
    </row>
    <row r="10" customFormat="false" ht="15" hidden="false" customHeight="false" outlineLevel="0" collapsed="false">
      <c r="A10" s="37" t="n">
        <v>6010</v>
      </c>
      <c r="B10" s="38" t="s">
        <v>79</v>
      </c>
      <c r="C10" s="38" t="s">
        <v>32</v>
      </c>
      <c r="D10" s="39" t="n">
        <v>230</v>
      </c>
      <c r="E10" s="39" t="n">
        <v>225</v>
      </c>
      <c r="F10" s="39" t="n">
        <v>250</v>
      </c>
      <c r="G10" s="39" t="n">
        <v>250</v>
      </c>
      <c r="H10" s="39" t="n">
        <v>255</v>
      </c>
      <c r="I10" s="39" t="n">
        <v>262</v>
      </c>
      <c r="J10" s="39" t="n">
        <v>245</v>
      </c>
      <c r="K10" s="39" t="n">
        <v>242</v>
      </c>
      <c r="L10" s="39" t="n">
        <v>258</v>
      </c>
      <c r="M10" s="39" t="n">
        <v>262</v>
      </c>
      <c r="N10" s="39" t="n">
        <v>265</v>
      </c>
      <c r="O10" s="39" t="n">
        <v>280</v>
      </c>
      <c r="P10" s="9" t="n">
        <f aca="false">IF(A10="","",SUM(D10:O10))</f>
        <v>3024</v>
      </c>
    </row>
    <row r="11" customFormat="false" ht="15" hidden="false" customHeight="false" outlineLevel="0" collapsed="false">
      <c r="A11" s="37" t="n">
        <v>6020</v>
      </c>
      <c r="B11" s="38" t="s">
        <v>80</v>
      </c>
      <c r="C11" s="38" t="s">
        <v>32</v>
      </c>
      <c r="D11" s="39" t="n">
        <v>18</v>
      </c>
      <c r="E11" s="39" t="n">
        <v>18</v>
      </c>
      <c r="F11" s="39" t="n">
        <v>20</v>
      </c>
      <c r="G11" s="39" t="n">
        <v>20</v>
      </c>
      <c r="H11" s="39" t="n">
        <v>20</v>
      </c>
      <c r="I11" s="39" t="n">
        <v>21</v>
      </c>
      <c r="J11" s="39" t="n">
        <v>20</v>
      </c>
      <c r="K11" s="39" t="n">
        <v>19</v>
      </c>
      <c r="L11" s="39" t="n">
        <v>21</v>
      </c>
      <c r="M11" s="39" t="n">
        <v>21</v>
      </c>
      <c r="N11" s="39" t="n">
        <v>21</v>
      </c>
      <c r="O11" s="39" t="n">
        <v>22</v>
      </c>
      <c r="P11" s="9" t="n">
        <f aca="false">IF(A11="","",SUM(D11:O11))</f>
        <v>241</v>
      </c>
    </row>
    <row r="12" customFormat="false" ht="15" hidden="false" customHeight="false" outlineLevel="0" collapsed="false">
      <c r="A12" s="37" t="n">
        <v>6030</v>
      </c>
      <c r="B12" s="38" t="s">
        <v>81</v>
      </c>
      <c r="C12" s="38" t="s">
        <v>32</v>
      </c>
      <c r="D12" s="39" t="n">
        <v>37</v>
      </c>
      <c r="E12" s="39" t="n">
        <v>36</v>
      </c>
      <c r="F12" s="39" t="n">
        <v>40</v>
      </c>
      <c r="G12" s="39" t="n">
        <v>40</v>
      </c>
      <c r="H12" s="39" t="n">
        <v>41</v>
      </c>
      <c r="I12" s="39" t="n">
        <v>42</v>
      </c>
      <c r="J12" s="39" t="n">
        <v>39</v>
      </c>
      <c r="K12" s="39" t="n">
        <v>39</v>
      </c>
      <c r="L12" s="39" t="n">
        <v>41</v>
      </c>
      <c r="M12" s="39" t="n">
        <v>42</v>
      </c>
      <c r="N12" s="39" t="n">
        <v>42</v>
      </c>
      <c r="O12" s="39" t="n">
        <v>45</v>
      </c>
      <c r="P12" s="9" t="n">
        <f aca="false">IF(A12="","",SUM(D12:O12))</f>
        <v>484</v>
      </c>
    </row>
    <row r="13" customFormat="false" ht="15" hidden="false" customHeight="false" outlineLevel="0" collapsed="false">
      <c r="A13" s="37" t="n">
        <v>6040</v>
      </c>
      <c r="B13" s="38" t="s">
        <v>82</v>
      </c>
      <c r="C13" s="38" t="s">
        <v>32</v>
      </c>
      <c r="D13" s="39" t="n">
        <v>14</v>
      </c>
      <c r="E13" s="39" t="n">
        <v>14</v>
      </c>
      <c r="F13" s="39" t="n">
        <v>15</v>
      </c>
      <c r="G13" s="39" t="n">
        <v>15</v>
      </c>
      <c r="H13" s="39" t="n">
        <v>15</v>
      </c>
      <c r="I13" s="39" t="n">
        <v>16</v>
      </c>
      <c r="J13" s="39" t="n">
        <v>15</v>
      </c>
      <c r="K13" s="39" t="n">
        <v>15</v>
      </c>
      <c r="L13" s="39" t="n">
        <v>15</v>
      </c>
      <c r="M13" s="39" t="n">
        <v>16</v>
      </c>
      <c r="N13" s="39" t="n">
        <v>16</v>
      </c>
      <c r="O13" s="39" t="n">
        <v>17</v>
      </c>
      <c r="P13" s="9" t="n">
        <f aca="false">IF(A13="","",SUM(D13:O13))</f>
        <v>183</v>
      </c>
    </row>
    <row r="14" customFormat="false" ht="15" hidden="false" customHeight="false" outlineLevel="0" collapsed="false">
      <c r="A14" s="37" t="n">
        <v>6050</v>
      </c>
      <c r="B14" s="38" t="s">
        <v>83</v>
      </c>
      <c r="C14" s="38" t="s">
        <v>32</v>
      </c>
      <c r="D14" s="39" t="n">
        <v>9</v>
      </c>
      <c r="E14" s="39" t="n">
        <v>9</v>
      </c>
      <c r="F14" s="39" t="n">
        <v>10</v>
      </c>
      <c r="G14" s="39" t="n">
        <v>10</v>
      </c>
      <c r="H14" s="39" t="n">
        <v>10</v>
      </c>
      <c r="I14" s="39" t="n">
        <v>10</v>
      </c>
      <c r="J14" s="39" t="n">
        <v>10</v>
      </c>
      <c r="K14" s="39" t="n">
        <v>10</v>
      </c>
      <c r="L14" s="39" t="n">
        <v>10</v>
      </c>
      <c r="M14" s="39" t="n">
        <v>10</v>
      </c>
      <c r="N14" s="39" t="n">
        <v>11</v>
      </c>
      <c r="O14" s="39" t="n">
        <v>11</v>
      </c>
      <c r="P14" s="9" t="n">
        <f aca="false">IF(A14="","",SUM(D14:O14))</f>
        <v>120</v>
      </c>
    </row>
    <row r="15" customFormat="false" ht="15" hidden="false" customHeight="false" outlineLevel="0" collapsed="false">
      <c r="A15" s="37" t="n">
        <v>6060</v>
      </c>
      <c r="B15" s="38" t="s">
        <v>84</v>
      </c>
      <c r="C15" s="38" t="s">
        <v>32</v>
      </c>
      <c r="D15" s="39" t="n">
        <v>55</v>
      </c>
      <c r="E15" s="39" t="n">
        <v>54</v>
      </c>
      <c r="F15" s="39" t="n">
        <v>60</v>
      </c>
      <c r="G15" s="39" t="n">
        <v>60</v>
      </c>
      <c r="H15" s="39" t="n">
        <v>61</v>
      </c>
      <c r="I15" s="39" t="n">
        <v>63</v>
      </c>
      <c r="J15" s="39" t="n">
        <v>59</v>
      </c>
      <c r="K15" s="39" t="n">
        <v>58</v>
      </c>
      <c r="L15" s="39" t="n">
        <v>62</v>
      </c>
      <c r="M15" s="39" t="n">
        <v>63</v>
      </c>
      <c r="N15" s="39" t="n">
        <v>64</v>
      </c>
      <c r="O15" s="39" t="n">
        <v>67</v>
      </c>
      <c r="P15" s="9" t="n">
        <f aca="false">IF(A15="","",SUM(D15:O15))</f>
        <v>726</v>
      </c>
    </row>
    <row r="16" customFormat="false" ht="15" hidden="false" customHeight="false" outlineLevel="0" collapsed="false">
      <c r="A16" s="37" t="n">
        <v>6070</v>
      </c>
      <c r="B16" s="38" t="s">
        <v>85</v>
      </c>
      <c r="C16" s="38" t="s">
        <v>32</v>
      </c>
      <c r="D16" s="39" t="n">
        <v>41</v>
      </c>
      <c r="E16" s="39" t="n">
        <v>40</v>
      </c>
      <c r="F16" s="39" t="n">
        <v>45</v>
      </c>
      <c r="G16" s="39" t="n">
        <v>45</v>
      </c>
      <c r="H16" s="39" t="n">
        <v>46</v>
      </c>
      <c r="I16" s="39" t="n">
        <v>47</v>
      </c>
      <c r="J16" s="39" t="n">
        <v>44</v>
      </c>
      <c r="K16" s="39" t="n">
        <v>44</v>
      </c>
      <c r="L16" s="39" t="n">
        <v>46</v>
      </c>
      <c r="M16" s="39" t="n">
        <v>47</v>
      </c>
      <c r="N16" s="39" t="n">
        <v>48</v>
      </c>
      <c r="O16" s="39" t="n">
        <v>50</v>
      </c>
      <c r="P16" s="9" t="n">
        <f aca="false">IF(A16="","",SUM(D16:O16))</f>
        <v>543</v>
      </c>
    </row>
    <row r="17" customFormat="false" ht="15" hidden="false" customHeight="false" outlineLevel="0" collapsed="false">
      <c r="A17" s="37" t="n">
        <v>6080</v>
      </c>
      <c r="B17" s="38" t="s">
        <v>86</v>
      </c>
      <c r="C17" s="38" t="s">
        <v>32</v>
      </c>
      <c r="D17" s="39" t="n">
        <v>64</v>
      </c>
      <c r="E17" s="39" t="n">
        <v>63</v>
      </c>
      <c r="F17" s="39" t="n">
        <v>70</v>
      </c>
      <c r="G17" s="39" t="n">
        <v>70</v>
      </c>
      <c r="H17" s="39" t="n">
        <v>71</v>
      </c>
      <c r="I17" s="39" t="n">
        <v>74</v>
      </c>
      <c r="J17" s="39" t="n">
        <v>69</v>
      </c>
      <c r="K17" s="39" t="n">
        <v>68</v>
      </c>
      <c r="L17" s="39" t="n">
        <v>72</v>
      </c>
      <c r="M17" s="39" t="n">
        <v>74</v>
      </c>
      <c r="N17" s="39" t="n">
        <v>74</v>
      </c>
      <c r="O17" s="39" t="n">
        <v>78</v>
      </c>
      <c r="P17" s="9" t="n">
        <f aca="false">IF(A17="","",SUM(D17:O17))</f>
        <v>847</v>
      </c>
    </row>
    <row r="18" customFormat="false" ht="15" hidden="false" customHeight="false" outlineLevel="0" collapsed="false">
      <c r="A18" s="37" t="n">
        <v>6090</v>
      </c>
      <c r="B18" s="38" t="s">
        <v>87</v>
      </c>
      <c r="C18" s="38" t="s">
        <v>32</v>
      </c>
      <c r="D18" s="39" t="n">
        <v>32</v>
      </c>
      <c r="E18" s="39" t="n">
        <v>32</v>
      </c>
      <c r="F18" s="39" t="n">
        <v>35</v>
      </c>
      <c r="G18" s="39" t="n">
        <v>35</v>
      </c>
      <c r="H18" s="39" t="n">
        <v>36</v>
      </c>
      <c r="I18" s="39" t="n">
        <v>37</v>
      </c>
      <c r="J18" s="39" t="n">
        <v>34</v>
      </c>
      <c r="K18" s="39" t="n">
        <v>34</v>
      </c>
      <c r="L18" s="39" t="n">
        <v>36</v>
      </c>
      <c r="M18" s="39" t="n">
        <v>37</v>
      </c>
      <c r="N18" s="39" t="n">
        <v>37</v>
      </c>
      <c r="O18" s="39" t="n">
        <v>39</v>
      </c>
      <c r="P18" s="9" t="n">
        <f aca="false">IF(A18="","",SUM(D18:O18))</f>
        <v>424</v>
      </c>
    </row>
    <row r="19" customFormat="false" ht="15" hidden="false" customHeight="false" outlineLevel="0" collapsed="false">
      <c r="A19" s="37" t="n">
        <v>6100</v>
      </c>
      <c r="B19" s="38" t="s">
        <v>88</v>
      </c>
      <c r="C19" s="38" t="s">
        <v>32</v>
      </c>
      <c r="D19" s="39" t="n">
        <v>23</v>
      </c>
      <c r="E19" s="39" t="n">
        <v>22</v>
      </c>
      <c r="F19" s="39" t="n">
        <v>25</v>
      </c>
      <c r="G19" s="39" t="n">
        <v>25</v>
      </c>
      <c r="H19" s="39" t="n">
        <v>26</v>
      </c>
      <c r="I19" s="39" t="n">
        <v>26</v>
      </c>
      <c r="J19" s="39" t="n">
        <v>24</v>
      </c>
      <c r="K19" s="39" t="n">
        <v>24</v>
      </c>
      <c r="L19" s="39" t="n">
        <v>26</v>
      </c>
      <c r="M19" s="39" t="n">
        <v>26</v>
      </c>
      <c r="N19" s="39" t="n">
        <v>26</v>
      </c>
      <c r="O19" s="39" t="n">
        <v>28</v>
      </c>
      <c r="P19" s="9" t="n">
        <f aca="false">IF(A19="","",SUM(D19:O19))</f>
        <v>301</v>
      </c>
    </row>
    <row r="20" customFormat="false" ht="15" hidden="false" customHeight="false" outlineLevel="0" collapsed="false">
      <c r="A20" s="37" t="n">
        <v>6110</v>
      </c>
      <c r="B20" s="38" t="s">
        <v>89</v>
      </c>
      <c r="C20" s="38" t="s">
        <v>32</v>
      </c>
      <c r="D20" s="39" t="n">
        <v>74</v>
      </c>
      <c r="E20" s="39" t="n">
        <v>72</v>
      </c>
      <c r="F20" s="39" t="n">
        <v>80</v>
      </c>
      <c r="G20" s="39" t="n">
        <v>80</v>
      </c>
      <c r="H20" s="39" t="n">
        <v>82</v>
      </c>
      <c r="I20" s="39" t="n">
        <v>84</v>
      </c>
      <c r="J20" s="39" t="n">
        <v>78</v>
      </c>
      <c r="K20" s="39" t="n">
        <v>78</v>
      </c>
      <c r="L20" s="39" t="n">
        <v>82</v>
      </c>
      <c r="M20" s="39" t="n">
        <v>84</v>
      </c>
      <c r="N20" s="39" t="n">
        <v>85</v>
      </c>
      <c r="O20" s="39" t="n">
        <v>90</v>
      </c>
      <c r="P20" s="9" t="n">
        <f aca="false">IF(A20="","",SUM(D20:O20))</f>
        <v>969</v>
      </c>
    </row>
    <row r="21" customFormat="false" ht="15" hidden="false" customHeight="false" outlineLevel="0" collapsed="false">
      <c r="A21" s="40"/>
      <c r="B21" s="40"/>
      <c r="C21" s="40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9" t="str">
        <f aca="false">IF(A21="","",SUM(D21:O21))</f>
        <v/>
      </c>
    </row>
    <row r="22" customFormat="false" ht="15" hidden="false" customHeight="false" outlineLevel="0" collapsed="false">
      <c r="A22" s="40"/>
      <c r="B22" s="40"/>
      <c r="C22" s="40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9" t="str">
        <f aca="false">IF(A22="","",SUM(D22:O22))</f>
        <v/>
      </c>
    </row>
    <row r="23" customFormat="false" ht="15" hidden="false" customHeight="false" outlineLevel="0" collapsed="false">
      <c r="A23" s="40"/>
      <c r="B23" s="40"/>
      <c r="C23" s="40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9" t="str">
        <f aca="false">IF(A23="","",SUM(D23:O23))</f>
        <v/>
      </c>
    </row>
    <row r="24" customFormat="false" ht="15" hidden="false" customHeight="false" outlineLevel="0" collapsed="false">
      <c r="A24" s="40"/>
      <c r="B24" s="40"/>
      <c r="C24" s="40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9" t="str">
        <f aca="false">IF(A24="","",SUM(D24:O24))</f>
        <v/>
      </c>
    </row>
    <row r="25" customFormat="false" ht="15" hidden="false" customHeight="false" outlineLevel="0" collapsed="false">
      <c r="A25" s="40"/>
      <c r="B25" s="40"/>
      <c r="C25" s="40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9" t="str">
        <f aca="false">IF(A25="","",SUM(D25:O25))</f>
        <v/>
      </c>
    </row>
    <row r="26" customFormat="false" ht="15" hidden="false" customHeight="false" outlineLevel="0" collapsed="false">
      <c r="A26" s="40"/>
      <c r="B26" s="40"/>
      <c r="C26" s="40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9" t="str">
        <f aca="false">IF(A26="","",SUM(D26:O26))</f>
        <v/>
      </c>
    </row>
    <row r="27" customFormat="false" ht="15" hidden="false" customHeight="false" outlineLevel="0" collapsed="false">
      <c r="A27" s="40"/>
      <c r="B27" s="40"/>
      <c r="C27" s="40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9" t="str">
        <f aca="false">IF(A27="","",SUM(D27:O27))</f>
        <v/>
      </c>
    </row>
    <row r="28" customFormat="false" ht="15" hidden="false" customHeight="false" outlineLevel="0" collapsed="false">
      <c r="A28" s="40"/>
      <c r="B28" s="40"/>
      <c r="C28" s="40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9" t="str">
        <f aca="false">IF(A28="","",SUM(D28:O28))</f>
        <v/>
      </c>
    </row>
    <row r="29" customFormat="false" ht="15" hidden="false" customHeight="false" outlineLevel="0" collapsed="false">
      <c r="A29" s="40"/>
      <c r="B29" s="40"/>
      <c r="C29" s="40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9" t="str">
        <f aca="false">IF(A29="","",SUM(D29:O29))</f>
        <v/>
      </c>
    </row>
    <row r="30" customFormat="false" ht="15" hidden="false" customHeight="false" outlineLevel="0" collapsed="false">
      <c r="A30" s="40"/>
      <c r="B30" s="40"/>
      <c r="C30" s="40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9" t="str">
        <f aca="false">IF(A30="","",SUM(D30:O30))</f>
        <v/>
      </c>
    </row>
    <row r="31" customFormat="false" ht="15" hidden="false" customHeight="false" outlineLevel="0" collapsed="false">
      <c r="A31" s="40"/>
      <c r="B31" s="40"/>
      <c r="C31" s="40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9" t="str">
        <f aca="false">IF(A31="","",SUM(D31:O31))</f>
        <v/>
      </c>
    </row>
    <row r="32" customFormat="false" ht="15" hidden="false" customHeight="false" outlineLevel="0" collapsed="false">
      <c r="A32" s="40"/>
      <c r="B32" s="40"/>
      <c r="C32" s="40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9" t="str">
        <f aca="false">IF(A32="","",SUM(D32:O32))</f>
        <v/>
      </c>
    </row>
    <row r="33" customFormat="false" ht="15" hidden="false" customHeight="false" outlineLevel="0" collapsed="false">
      <c r="A33" s="40"/>
      <c r="B33" s="40"/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9" t="str">
        <f aca="false">IF(A33="","",SUM(D33:O33))</f>
        <v/>
      </c>
    </row>
    <row r="34" customFormat="false" ht="15" hidden="false" customHeight="false" outlineLevel="0" collapsed="false">
      <c r="A34" s="40"/>
      <c r="B34" s="40"/>
      <c r="C34" s="40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9" t="str">
        <f aca="false">IF(A34="","",SUM(D34:O34))</f>
        <v/>
      </c>
    </row>
    <row r="35" customFormat="false" ht="15" hidden="false" customHeight="false" outlineLevel="0" collapsed="false">
      <c r="A35" s="40"/>
      <c r="B35" s="40"/>
      <c r="C35" s="40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9" t="str">
        <f aca="false">IF(A35="","",SUM(D35:O35))</f>
        <v/>
      </c>
    </row>
    <row r="36" customFormat="false" ht="15" hidden="false" customHeight="false" outlineLevel="0" collapsed="false">
      <c r="A36" s="40"/>
      <c r="B36" s="40"/>
      <c r="C36" s="40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9" t="str">
        <f aca="false">IF(A36="","",SUM(D36:O36))</f>
        <v/>
      </c>
    </row>
    <row r="37" customFormat="false" ht="15" hidden="false" customHeight="false" outlineLevel="0" collapsed="false">
      <c r="A37" s="40"/>
      <c r="B37" s="40"/>
      <c r="C37" s="40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9" t="str">
        <f aca="false">IF(A37="","",SUM(D37:O37))</f>
        <v/>
      </c>
    </row>
    <row r="38" customFormat="false" ht="15" hidden="false" customHeight="false" outlineLevel="0" collapsed="false">
      <c r="A38" s="40"/>
      <c r="B38" s="40"/>
      <c r="C38" s="40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9" t="str">
        <f aca="false">IF(A38="","",SUM(D38:O38))</f>
        <v/>
      </c>
    </row>
    <row r="39" customFormat="false" ht="15" hidden="false" customHeight="false" outlineLevel="0" collapsed="false">
      <c r="A39" s="40"/>
      <c r="B39" s="40"/>
      <c r="C39" s="40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9" t="str">
        <f aca="false">IF(A39="","",SUM(D39:O39))</f>
        <v/>
      </c>
    </row>
    <row r="40" customFormat="false" ht="15" hidden="false" customHeight="false" outlineLevel="0" collapsed="false">
      <c r="A40" s="40"/>
      <c r="B40" s="40"/>
      <c r="C40" s="40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9" t="str">
        <f aca="false">IF(A40="","",SUM(D40:O40))</f>
        <v/>
      </c>
    </row>
    <row r="41" customFormat="false" ht="15" hidden="false" customHeight="false" outlineLevel="0" collapsed="false">
      <c r="A41" s="40"/>
      <c r="B41" s="40"/>
      <c r="C41" s="40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9" t="str">
        <f aca="false">IF(A41="","",SUM(D41:O41))</f>
        <v/>
      </c>
    </row>
    <row r="42" customFormat="false" ht="15" hidden="false" customHeight="false" outlineLevel="0" collapsed="false">
      <c r="A42" s="40"/>
      <c r="B42" s="40"/>
      <c r="C42" s="40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9" t="str">
        <f aca="false">IF(A42="","",SUM(D42:O42))</f>
        <v/>
      </c>
    </row>
    <row r="43" customFormat="false" ht="15" hidden="false" customHeight="false" outlineLevel="0" collapsed="false">
      <c r="A43" s="40"/>
      <c r="B43" s="40"/>
      <c r="C43" s="40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9" t="str">
        <f aca="false">IF(A43="","",SUM(D43:O43))</f>
        <v/>
      </c>
    </row>
    <row r="44" customFormat="false" ht="15" hidden="false" customHeight="false" outlineLevel="0" collapsed="false">
      <c r="A44" s="40"/>
      <c r="B44" s="40"/>
      <c r="C44" s="40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9" t="str">
        <f aca="false">IF(A44="","",SUM(D44:O44))</f>
        <v/>
      </c>
    </row>
    <row r="45" customFormat="false" ht="15" hidden="false" customHeight="false" outlineLevel="0" collapsed="false">
      <c r="A45" s="40"/>
      <c r="B45" s="40"/>
      <c r="C45" s="40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9" t="str">
        <f aca="false">IF(A45="","",SUM(D45:O45))</f>
        <v/>
      </c>
    </row>
    <row r="46" customFormat="false" ht="15" hidden="false" customHeight="false" outlineLevel="0" collapsed="false">
      <c r="A46" s="40"/>
      <c r="B46" s="40"/>
      <c r="C46" s="40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9" t="str">
        <f aca="false">IF(A46="","",SUM(D46:O46))</f>
        <v/>
      </c>
    </row>
    <row r="47" customFormat="false" ht="15" hidden="false" customHeight="false" outlineLevel="0" collapsed="false">
      <c r="A47" s="40"/>
      <c r="B47" s="40"/>
      <c r="C47" s="40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9" t="str">
        <f aca="false">IF(A47="","",SUM(D47:O47))</f>
        <v/>
      </c>
    </row>
    <row r="48" customFormat="false" ht="15" hidden="false" customHeight="false" outlineLevel="0" collapsed="false">
      <c r="A48" s="40"/>
      <c r="B48" s="40"/>
      <c r="C48" s="40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9" t="str">
        <f aca="false">IF(A48="","",SUM(D48:O48))</f>
        <v/>
      </c>
    </row>
    <row r="49" customFormat="false" ht="15" hidden="false" customHeight="false" outlineLevel="0" collapsed="false">
      <c r="A49" s="40"/>
      <c r="B49" s="40"/>
      <c r="C49" s="40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9" t="str">
        <f aca="false">IF(A49="","",SUM(D49:O49))</f>
        <v/>
      </c>
    </row>
    <row r="50" customFormat="false" ht="15" hidden="false" customHeight="false" outlineLevel="0" collapsed="false">
      <c r="A50" s="40"/>
      <c r="B50" s="40"/>
      <c r="C50" s="40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9" t="str">
        <f aca="false">IF(A50="","",SUM(D50:O50))</f>
        <v/>
      </c>
    </row>
    <row r="51" customFormat="false" ht="15" hidden="false" customHeight="false" outlineLevel="0" collapsed="false">
      <c r="A51" s="40"/>
      <c r="B51" s="40"/>
      <c r="C51" s="40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9" t="str">
        <f aca="false">IF(A51="","",SUM(D51:O51))</f>
        <v/>
      </c>
    </row>
    <row r="52" customFormat="false" ht="15" hidden="false" customHeight="false" outlineLevel="0" collapsed="false">
      <c r="A52" s="40"/>
      <c r="B52" s="40"/>
      <c r="C52" s="40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9" t="str">
        <f aca="false">IF(A52="","",SUM(D52:O52))</f>
        <v/>
      </c>
    </row>
    <row r="53" customFormat="false" ht="15" hidden="false" customHeight="false" outlineLevel="0" collapsed="false">
      <c r="A53" s="40"/>
      <c r="B53" s="40"/>
      <c r="C53" s="40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9" t="str">
        <f aca="false">IF(A53="","",SUM(D53:O53))</f>
        <v/>
      </c>
    </row>
    <row r="54" customFormat="false" ht="15" hidden="false" customHeight="false" outlineLevel="0" collapsed="false">
      <c r="A54" s="40"/>
      <c r="B54" s="40"/>
      <c r="C54" s="40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9" t="str">
        <f aca="false">IF(A54="","",SUM(D54:O54))</f>
        <v/>
      </c>
    </row>
    <row r="55" customFormat="false" ht="15" hidden="false" customHeight="false" outlineLevel="0" collapsed="false">
      <c r="A55" s="40"/>
      <c r="B55" s="40"/>
      <c r="C55" s="40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9" t="str">
        <f aca="false">IF(A55="","",SUM(D55:O55))</f>
        <v/>
      </c>
    </row>
    <row r="56" customFormat="false" ht="15" hidden="false" customHeight="false" outlineLevel="0" collapsed="false">
      <c r="A56" s="40"/>
      <c r="B56" s="40"/>
      <c r="C56" s="40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9" t="str">
        <f aca="false">IF(A56="","",SUM(D56:O56))</f>
        <v/>
      </c>
    </row>
    <row r="57" customFormat="false" ht="15" hidden="false" customHeight="false" outlineLevel="0" collapsed="false">
      <c r="A57" s="40"/>
      <c r="B57" s="40"/>
      <c r="C57" s="40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9" t="str">
        <f aca="false">IF(A57="","",SUM(D57:O57))</f>
        <v/>
      </c>
    </row>
    <row r="58" customFormat="false" ht="15" hidden="false" customHeight="false" outlineLevel="0" collapsed="false">
      <c r="A58" s="40"/>
      <c r="B58" s="40"/>
      <c r="C58" s="40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9" t="str">
        <f aca="false">IF(A58="","",SUM(D58:O58))</f>
        <v/>
      </c>
    </row>
    <row r="59" customFormat="false" ht="15" hidden="false" customHeight="false" outlineLevel="0" collapsed="false">
      <c r="A59" s="40"/>
      <c r="B59" s="40"/>
      <c r="C59" s="40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9" t="str">
        <f aca="false">IF(A59="","",SUM(D59:O59))</f>
        <v/>
      </c>
    </row>
    <row r="60" customFormat="false" ht="15" hidden="false" customHeight="false" outlineLevel="0" collapsed="false">
      <c r="A60" s="40"/>
      <c r="B60" s="40"/>
      <c r="C60" s="40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9" t="str">
        <f aca="false">IF(A60="","",SUM(D60:O60))</f>
        <v/>
      </c>
    </row>
    <row r="61" customFormat="false" ht="15" hidden="false" customHeight="false" outlineLevel="0" collapsed="false">
      <c r="A61" s="40"/>
      <c r="B61" s="40"/>
      <c r="C61" s="40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9" t="str">
        <f aca="false">IF(A61="","",SUM(D61:O61))</f>
        <v/>
      </c>
    </row>
    <row r="62" customFormat="false" ht="15" hidden="false" customHeight="false" outlineLevel="0" collapsed="false">
      <c r="A62" s="40"/>
      <c r="B62" s="40"/>
      <c r="C62" s="40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9" t="str">
        <f aca="false">IF(A62="","",SUM(D62:O62))</f>
        <v/>
      </c>
    </row>
    <row r="63" customFormat="false" ht="15" hidden="false" customHeight="false" outlineLevel="0" collapsed="false">
      <c r="A63" s="40"/>
      <c r="B63" s="40"/>
      <c r="C63" s="40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9" t="str">
        <f aca="false">IF(A63="","",SUM(D63:O63))</f>
        <v/>
      </c>
    </row>
    <row r="64" customFormat="false" ht="15" hidden="false" customHeight="false" outlineLevel="0" collapsed="false">
      <c r="A64" s="40"/>
      <c r="B64" s="40"/>
      <c r="C64" s="40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9" t="str">
        <f aca="false">IF(A64="","",SUM(D64:O64))</f>
        <v/>
      </c>
    </row>
    <row r="65" customFormat="false" ht="15" hidden="false" customHeight="false" outlineLevel="0" collapsed="false">
      <c r="A65" s="40"/>
      <c r="B65" s="40"/>
      <c r="C65" s="40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9" t="str">
        <f aca="false">IF(A65="","",SUM(D65:O65))</f>
        <v/>
      </c>
    </row>
    <row r="66" customFormat="false" ht="15" hidden="false" customHeight="false" outlineLevel="0" collapsed="false">
      <c r="A66" s="40"/>
      <c r="B66" s="40"/>
      <c r="C66" s="40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9" t="str">
        <f aca="false">IF(A66="","",SUM(D66:O66))</f>
        <v/>
      </c>
    </row>
    <row r="67" customFormat="false" ht="15" hidden="false" customHeight="false" outlineLevel="0" collapsed="false">
      <c r="A67" s="40"/>
      <c r="B67" s="40"/>
      <c r="C67" s="40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9" t="str">
        <f aca="false">IF(A67="","",SUM(D67:O67))</f>
        <v/>
      </c>
    </row>
    <row r="68" customFormat="false" ht="15" hidden="false" customHeight="false" outlineLevel="0" collapsed="false">
      <c r="A68" s="40"/>
      <c r="B68" s="40"/>
      <c r="C68" s="40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9" t="str">
        <f aca="false">IF(A68="","",SUM(D68:O68))</f>
        <v/>
      </c>
    </row>
    <row r="69" customFormat="false" ht="15" hidden="false" customHeight="false" outlineLevel="0" collapsed="false">
      <c r="A69" s="40"/>
      <c r="B69" s="40"/>
      <c r="C69" s="40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9" t="str">
        <f aca="false">IF(A69="","",SUM(D69:O69))</f>
        <v/>
      </c>
    </row>
    <row r="70" customFormat="false" ht="15" hidden="false" customHeight="false" outlineLevel="0" collapsed="false">
      <c r="A70" s="40"/>
      <c r="B70" s="40"/>
      <c r="C70" s="40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9" t="str">
        <f aca="false">IF(A70="","",SUM(D70:O70))</f>
        <v/>
      </c>
    </row>
    <row r="71" customFormat="false" ht="15" hidden="false" customHeight="false" outlineLevel="0" collapsed="false">
      <c r="A71" s="40"/>
      <c r="B71" s="40"/>
      <c r="C71" s="40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9" t="str">
        <f aca="false">IF(A71="","",SUM(D71:O71))</f>
        <v/>
      </c>
    </row>
    <row r="72" customFormat="false" ht="15" hidden="false" customHeight="false" outlineLevel="0" collapsed="false">
      <c r="A72" s="40"/>
      <c r="B72" s="40"/>
      <c r="C72" s="40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9" t="str">
        <f aca="false">IF(A72="","",SUM(D72:O72))</f>
        <v/>
      </c>
    </row>
    <row r="73" customFormat="false" ht="15" hidden="false" customHeight="false" outlineLevel="0" collapsed="false">
      <c r="A73" s="40"/>
      <c r="B73" s="40"/>
      <c r="C73" s="40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9" t="str">
        <f aca="false">IF(A73="","",SUM(D73:O73))</f>
        <v/>
      </c>
    </row>
    <row r="74" customFormat="false" ht="15" hidden="false" customHeight="false" outlineLevel="0" collapsed="false">
      <c r="A74" s="40"/>
      <c r="B74" s="40"/>
      <c r="C74" s="40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9" t="str">
        <f aca="false">IF(A74="","",SUM(D74:O74))</f>
        <v/>
      </c>
    </row>
    <row r="75" customFormat="false" ht="15" hidden="false" customHeight="false" outlineLevel="0" collapsed="false">
      <c r="A75" s="40"/>
      <c r="B75" s="40"/>
      <c r="C75" s="40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9" t="str">
        <f aca="false">IF(A75="","",SUM(D75:O75))</f>
        <v/>
      </c>
    </row>
    <row r="76" customFormat="false" ht="15" hidden="false" customHeight="false" outlineLevel="0" collapsed="false">
      <c r="A76" s="40"/>
      <c r="B76" s="40"/>
      <c r="C76" s="40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9" t="str">
        <f aca="false">IF(A76="","",SUM(D76:O76))</f>
        <v/>
      </c>
    </row>
    <row r="77" customFormat="false" ht="15" hidden="false" customHeight="false" outlineLevel="0" collapsed="false">
      <c r="A77" s="40"/>
      <c r="B77" s="40"/>
      <c r="C77" s="40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9" t="str">
        <f aca="false">IF(A77="","",SUM(D77:O77))</f>
        <v/>
      </c>
    </row>
    <row r="78" customFormat="false" ht="15" hidden="false" customHeight="false" outlineLevel="0" collapsed="false">
      <c r="A78" s="40"/>
      <c r="B78" s="40"/>
      <c r="C78" s="40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9" t="str">
        <f aca="false">IF(A78="","",SUM(D78:O78))</f>
        <v/>
      </c>
    </row>
    <row r="79" customFormat="false" ht="15" hidden="false" customHeight="false" outlineLevel="0" collapsed="false">
      <c r="A79" s="40"/>
      <c r="B79" s="40"/>
      <c r="C79" s="40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9" t="str">
        <f aca="false">IF(A79="","",SUM(D79:O79))</f>
        <v/>
      </c>
    </row>
    <row r="80" customFormat="false" ht="15" hidden="false" customHeight="false" outlineLevel="0" collapsed="false">
      <c r="A80" s="40"/>
      <c r="B80" s="40"/>
      <c r="C80" s="40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9" t="str">
        <f aca="false">IF(A80="","",SUM(D80:O80))</f>
        <v/>
      </c>
    </row>
    <row r="81" customFormat="false" ht="15" hidden="false" customHeight="false" outlineLevel="0" collapsed="false">
      <c r="A81" s="40"/>
      <c r="B81" s="40"/>
      <c r="C81" s="40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9" t="str">
        <f aca="false">IF(A81="","",SUM(D81:O81))</f>
        <v/>
      </c>
    </row>
    <row r="82" customFormat="false" ht="15" hidden="false" customHeight="false" outlineLevel="0" collapsed="false">
      <c r="A82" s="40"/>
      <c r="B82" s="40"/>
      <c r="C82" s="40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9" t="str">
        <f aca="false">IF(A82="","",SUM(D82:O82))</f>
        <v/>
      </c>
    </row>
    <row r="83" customFormat="false" ht="15" hidden="false" customHeight="false" outlineLevel="0" collapsed="false">
      <c r="A83" s="40"/>
      <c r="B83" s="40"/>
      <c r="C83" s="40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9" t="str">
        <f aca="false">IF(A83="","",SUM(D83:O83))</f>
        <v/>
      </c>
    </row>
    <row r="84" customFormat="false" ht="15" hidden="false" customHeight="false" outlineLevel="0" collapsed="false">
      <c r="A84" s="40"/>
      <c r="B84" s="40"/>
      <c r="C84" s="40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9" t="str">
        <f aca="false">IF(A84="","",SUM(D84:O84))</f>
        <v/>
      </c>
    </row>
    <row r="85" customFormat="false" ht="15" hidden="false" customHeight="false" outlineLevel="0" collapsed="false">
      <c r="A85" s="40"/>
      <c r="B85" s="40"/>
      <c r="C85" s="40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9" t="str">
        <f aca="false">IF(A85="","",SUM(D85:O85))</f>
        <v/>
      </c>
    </row>
    <row r="86" customFormat="false" ht="15" hidden="false" customHeight="false" outlineLevel="0" collapsed="false">
      <c r="A86" s="40"/>
      <c r="B86" s="40"/>
      <c r="C86" s="40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9" t="str">
        <f aca="false">IF(A86="","",SUM(D86:O86))</f>
        <v/>
      </c>
    </row>
    <row r="87" customFormat="false" ht="15" hidden="false" customHeight="false" outlineLevel="0" collapsed="false">
      <c r="A87" s="40"/>
      <c r="B87" s="40"/>
      <c r="C87" s="40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9" t="str">
        <f aca="false">IF(A87="","",SUM(D87:O87))</f>
        <v/>
      </c>
    </row>
    <row r="88" customFormat="false" ht="15" hidden="false" customHeight="false" outlineLevel="0" collapsed="false">
      <c r="A88" s="40"/>
      <c r="B88" s="40"/>
      <c r="C88" s="40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9" t="str">
        <f aca="false">IF(A88="","",SUM(D88:O88))</f>
        <v/>
      </c>
    </row>
    <row r="89" customFormat="false" ht="15" hidden="false" customHeight="false" outlineLevel="0" collapsed="false">
      <c r="A89" s="40"/>
      <c r="B89" s="40"/>
      <c r="C89" s="40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9" t="str">
        <f aca="false">IF(A89="","",SUM(D89:O89))</f>
        <v/>
      </c>
    </row>
    <row r="90" customFormat="false" ht="15" hidden="false" customHeight="false" outlineLevel="0" collapsed="false">
      <c r="A90" s="40"/>
      <c r="B90" s="40"/>
      <c r="C90" s="40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9" t="str">
        <f aca="false">IF(A90="","",SUM(D90:O90))</f>
        <v/>
      </c>
    </row>
    <row r="91" customFormat="false" ht="15" hidden="false" customHeight="false" outlineLevel="0" collapsed="false">
      <c r="A91" s="40"/>
      <c r="B91" s="40"/>
      <c r="C91" s="40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9" t="str">
        <f aca="false">IF(A91="","",SUM(D91:O91))</f>
        <v/>
      </c>
    </row>
    <row r="92" customFormat="false" ht="15" hidden="false" customHeight="false" outlineLevel="0" collapsed="false">
      <c r="A92" s="40"/>
      <c r="B92" s="40"/>
      <c r="C92" s="40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9" t="str">
        <f aca="false">IF(A92="","",SUM(D92:O92))</f>
        <v/>
      </c>
    </row>
    <row r="93" customFormat="false" ht="15" hidden="false" customHeight="false" outlineLevel="0" collapsed="false">
      <c r="A93" s="40"/>
      <c r="B93" s="40"/>
      <c r="C93" s="40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9" t="str">
        <f aca="false">IF(A93="","",SUM(D93:O93))</f>
        <v/>
      </c>
    </row>
    <row r="94" customFormat="false" ht="15" hidden="false" customHeight="false" outlineLevel="0" collapsed="false">
      <c r="A94" s="40"/>
      <c r="B94" s="40"/>
      <c r="C94" s="40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9" t="str">
        <f aca="false">IF(A94="","",SUM(D94:O94))</f>
        <v/>
      </c>
    </row>
    <row r="95" customFormat="false" ht="15" hidden="false" customHeight="false" outlineLevel="0" collapsed="false">
      <c r="A95" s="40"/>
      <c r="B95" s="40"/>
      <c r="C95" s="40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9" t="str">
        <f aca="false">IF(A95="","",SUM(D95:O95))</f>
        <v/>
      </c>
    </row>
    <row r="96" customFormat="false" ht="15" hidden="false" customHeight="false" outlineLevel="0" collapsed="false">
      <c r="A96" s="40"/>
      <c r="B96" s="40"/>
      <c r="C96" s="40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9" t="str">
        <f aca="false">IF(A96="","",SUM(D96:O96))</f>
        <v/>
      </c>
    </row>
    <row r="97" customFormat="false" ht="15" hidden="false" customHeight="false" outlineLevel="0" collapsed="false">
      <c r="A97" s="40"/>
      <c r="B97" s="40"/>
      <c r="C97" s="40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9" t="str">
        <f aca="false">IF(A97="","",SUM(D97:O97))</f>
        <v/>
      </c>
    </row>
    <row r="98" customFormat="false" ht="15" hidden="false" customHeight="false" outlineLevel="0" collapsed="false">
      <c r="A98" s="40"/>
      <c r="B98" s="40"/>
      <c r="C98" s="40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9" t="str">
        <f aca="false">IF(A98="","",SUM(D98:O98))</f>
        <v/>
      </c>
    </row>
    <row r="99" customFormat="false" ht="15" hidden="false" customHeight="false" outlineLevel="0" collapsed="false">
      <c r="A99" s="40"/>
      <c r="B99" s="40"/>
      <c r="C99" s="40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9" t="str">
        <f aca="false">IF(A99="","",SUM(D99:O99))</f>
        <v/>
      </c>
    </row>
    <row r="100" customFormat="false" ht="15" hidden="false" customHeight="false" outlineLevel="0" collapsed="false">
      <c r="A100" s="40"/>
      <c r="B100" s="40"/>
      <c r="C100" s="40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9" t="str">
        <f aca="false">IF(A100="","",SUM(D100:O100))</f>
        <v/>
      </c>
    </row>
    <row r="101" customFormat="false" ht="15" hidden="false" customHeight="false" outlineLevel="0" collapsed="false">
      <c r="A101" s="40"/>
      <c r="B101" s="40"/>
      <c r="C101" s="40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9" t="str">
        <f aca="false">IF(A101="","",SUM(D101:O101))</f>
        <v/>
      </c>
    </row>
    <row r="102" customFormat="false" ht="15" hidden="false" customHeight="false" outlineLevel="0" collapsed="false">
      <c r="A102" s="40"/>
      <c r="B102" s="40"/>
      <c r="C102" s="40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9" t="str">
        <f aca="false">IF(A102="","",SUM(D102:O102))</f>
        <v/>
      </c>
    </row>
    <row r="103" customFormat="false" ht="15" hidden="false" customHeight="false" outlineLevel="0" collapsed="false">
      <c r="A103" s="40"/>
      <c r="B103" s="40"/>
      <c r="C103" s="40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9" t="str">
        <f aca="false">IF(A103="","",SUM(D103:O103))</f>
        <v/>
      </c>
    </row>
    <row r="104" customFormat="false" ht="15" hidden="false" customHeight="false" outlineLevel="0" collapsed="false">
      <c r="A104" s="40"/>
      <c r="B104" s="40"/>
      <c r="C104" s="40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9" t="str">
        <f aca="false">IF(A104="","",SUM(D104:O104))</f>
        <v/>
      </c>
    </row>
    <row r="105" customFormat="false" ht="15" hidden="false" customHeight="false" outlineLevel="0" collapsed="false">
      <c r="A105" s="40"/>
      <c r="B105" s="40"/>
      <c r="C105" s="40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9" t="str">
        <f aca="false">IF(A105="","",SUM(D105:O105))</f>
        <v/>
      </c>
    </row>
    <row r="106" customFormat="false" ht="15" hidden="false" customHeight="false" outlineLevel="0" collapsed="false">
      <c r="A106" s="40"/>
      <c r="B106" s="40"/>
      <c r="C106" s="40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9" t="str">
        <f aca="false">IF(A106="","",SUM(D106:O106))</f>
        <v/>
      </c>
    </row>
    <row r="107" customFormat="false" ht="15" hidden="false" customHeight="false" outlineLevel="0" collapsed="false">
      <c r="A107" s="40"/>
      <c r="B107" s="40"/>
      <c r="C107" s="40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9" t="str">
        <f aca="false">IF(A107="","",SUM(D107:O107))</f>
        <v/>
      </c>
    </row>
    <row r="108" customFormat="false" ht="15" hidden="false" customHeight="false" outlineLevel="0" collapsed="false">
      <c r="A108" s="40"/>
      <c r="B108" s="40"/>
      <c r="C108" s="40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9" t="str">
        <f aca="false">IF(A108="","",SUM(D108:O108))</f>
        <v/>
      </c>
    </row>
    <row r="109" customFormat="false" ht="15" hidden="false" customHeight="false" outlineLevel="0" collapsed="false">
      <c r="A109" s="40"/>
      <c r="B109" s="40"/>
      <c r="C109" s="40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9" t="str">
        <f aca="false">IF(A109="","",SUM(D109:O109))</f>
        <v/>
      </c>
    </row>
    <row r="110" customFormat="false" ht="15" hidden="false" customHeight="false" outlineLevel="0" collapsed="false">
      <c r="A110" s="40"/>
      <c r="B110" s="40"/>
      <c r="C110" s="40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9" t="str">
        <f aca="false">IF(A110="","",SUM(D110:O110))</f>
        <v/>
      </c>
    </row>
    <row r="111" customFormat="false" ht="15" hidden="false" customHeight="false" outlineLevel="0" collapsed="false">
      <c r="A111" s="40"/>
      <c r="B111" s="40"/>
      <c r="C111" s="40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9" t="str">
        <f aca="false">IF(A111="","",SUM(D111:O111))</f>
        <v/>
      </c>
    </row>
    <row r="112" customFormat="false" ht="15" hidden="false" customHeight="false" outlineLevel="0" collapsed="false">
      <c r="A112" s="40"/>
      <c r="B112" s="40"/>
      <c r="C112" s="40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9" t="str">
        <f aca="false">IF(A112="","",SUM(D112:O112))</f>
        <v/>
      </c>
    </row>
    <row r="113" customFormat="false" ht="15" hidden="false" customHeight="false" outlineLevel="0" collapsed="false">
      <c r="A113" s="40"/>
      <c r="B113" s="40"/>
      <c r="C113" s="40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9" t="str">
        <f aca="false">IF(A113="","",SUM(D113:O113))</f>
        <v/>
      </c>
    </row>
    <row r="114" customFormat="false" ht="15" hidden="false" customHeight="false" outlineLevel="0" collapsed="false">
      <c r="A114" s="40"/>
      <c r="B114" s="40"/>
      <c r="C114" s="40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9" t="str">
        <f aca="false">IF(A114="","",SUM(D114:O114))</f>
        <v/>
      </c>
    </row>
    <row r="115" customFormat="false" ht="15" hidden="false" customHeight="false" outlineLevel="0" collapsed="false">
      <c r="A115" s="40"/>
      <c r="B115" s="40"/>
      <c r="C115" s="40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9" t="str">
        <f aca="false">IF(A115="","",SUM(D115:O115))</f>
        <v/>
      </c>
    </row>
    <row r="116" customFormat="false" ht="15" hidden="false" customHeight="false" outlineLevel="0" collapsed="false">
      <c r="A116" s="40"/>
      <c r="B116" s="40"/>
      <c r="C116" s="40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9" t="str">
        <f aca="false">IF(A116="","",SUM(D116:O116))</f>
        <v/>
      </c>
    </row>
    <row r="117" customFormat="false" ht="15" hidden="false" customHeight="false" outlineLevel="0" collapsed="false">
      <c r="A117" s="40"/>
      <c r="B117" s="40"/>
      <c r="C117" s="40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9" t="str">
        <f aca="false">IF(A117="","",SUM(D117:O117))</f>
        <v/>
      </c>
    </row>
    <row r="118" customFormat="false" ht="15" hidden="false" customHeight="false" outlineLevel="0" collapsed="false">
      <c r="A118" s="40"/>
      <c r="B118" s="40"/>
      <c r="C118" s="40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9" t="str">
        <f aca="false">IF(A118="","",SUM(D118:O118))</f>
        <v/>
      </c>
    </row>
    <row r="119" customFormat="false" ht="15" hidden="false" customHeight="false" outlineLevel="0" collapsed="false">
      <c r="A119" s="40"/>
      <c r="B119" s="40"/>
      <c r="C119" s="40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9" t="str">
        <f aca="false">IF(A119="","",SUM(D119:O119))</f>
        <v/>
      </c>
    </row>
    <row r="120" customFormat="false" ht="15" hidden="false" customHeight="false" outlineLevel="0" collapsed="false">
      <c r="A120" s="40"/>
      <c r="B120" s="40"/>
      <c r="C120" s="40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9" t="str">
        <f aca="false">IF(A120="","",SUM(D120:O120))</f>
        <v/>
      </c>
    </row>
    <row r="121" customFormat="false" ht="15" hidden="false" customHeight="false" outlineLevel="0" collapsed="false">
      <c r="A121" s="40"/>
      <c r="B121" s="40"/>
      <c r="C121" s="40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9" t="str">
        <f aca="false">IF(A121="","",SUM(D121:O121))</f>
        <v/>
      </c>
    </row>
    <row r="122" customFormat="false" ht="15" hidden="false" customHeight="false" outlineLevel="0" collapsed="false">
      <c r="A122" s="40"/>
      <c r="B122" s="40"/>
      <c r="C122" s="40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9" t="str">
        <f aca="false">IF(A122="","",SUM(D122:O122))</f>
        <v/>
      </c>
    </row>
    <row r="123" customFormat="false" ht="15" hidden="false" customHeight="false" outlineLevel="0" collapsed="false">
      <c r="A123" s="40"/>
      <c r="B123" s="40"/>
      <c r="C123" s="40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9" t="str">
        <f aca="false">IF(A123="","",SUM(D123:O123))</f>
        <v/>
      </c>
    </row>
    <row r="124" customFormat="false" ht="15" hidden="false" customHeight="false" outlineLevel="0" collapsed="false">
      <c r="A124" s="40"/>
      <c r="B124" s="40"/>
      <c r="C124" s="40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9" t="str">
        <f aca="false">IF(A124="","",SUM(D124:O124))</f>
        <v/>
      </c>
    </row>
    <row r="125" customFormat="false" ht="15" hidden="false" customHeight="false" outlineLevel="0" collapsed="false">
      <c r="A125" s="40"/>
      <c r="B125" s="40"/>
      <c r="C125" s="40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9" t="str">
        <f aca="false">IF(A125="","",SUM(D125:O125))</f>
        <v/>
      </c>
    </row>
    <row r="126" customFormat="false" ht="15" hidden="false" customHeight="false" outlineLevel="0" collapsed="false">
      <c r="A126" s="40"/>
      <c r="B126" s="40"/>
      <c r="C126" s="40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9" t="str">
        <f aca="false">IF(A126="","",SUM(D126:O126))</f>
        <v/>
      </c>
    </row>
    <row r="127" customFormat="false" ht="15" hidden="false" customHeight="false" outlineLevel="0" collapsed="false">
      <c r="A127" s="40"/>
      <c r="B127" s="40"/>
      <c r="C127" s="40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9" t="str">
        <f aca="false">IF(A127="","",SUM(D127:O127))</f>
        <v/>
      </c>
    </row>
    <row r="128" customFormat="false" ht="15" hidden="false" customHeight="false" outlineLevel="0" collapsed="false">
      <c r="A128" s="40"/>
      <c r="B128" s="40"/>
      <c r="C128" s="40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9" t="str">
        <f aca="false">IF(A128="","",SUM(D128:O128))</f>
        <v/>
      </c>
    </row>
    <row r="129" customFormat="false" ht="15" hidden="false" customHeight="false" outlineLevel="0" collapsed="false">
      <c r="A129" s="40"/>
      <c r="B129" s="40"/>
      <c r="C129" s="40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9" t="str">
        <f aca="false">IF(A129="","",SUM(D129:O129))</f>
        <v/>
      </c>
    </row>
    <row r="130" customFormat="false" ht="15" hidden="false" customHeight="false" outlineLevel="0" collapsed="false">
      <c r="A130" s="40"/>
      <c r="B130" s="40"/>
      <c r="C130" s="40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9" t="str">
        <f aca="false">IF(A130="","",SUM(D130:O130))</f>
        <v/>
      </c>
    </row>
    <row r="131" customFormat="false" ht="15" hidden="false" customHeight="false" outlineLevel="0" collapsed="false">
      <c r="A131" s="40"/>
      <c r="B131" s="40"/>
      <c r="C131" s="40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9" t="str">
        <f aca="false">IF(A131="","",SUM(D131:O131))</f>
        <v/>
      </c>
    </row>
    <row r="132" customFormat="false" ht="15" hidden="false" customHeight="false" outlineLevel="0" collapsed="false">
      <c r="A132" s="40"/>
      <c r="B132" s="40"/>
      <c r="C132" s="40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9" t="str">
        <f aca="false">IF(A132="","",SUM(D132:O132))</f>
        <v/>
      </c>
    </row>
    <row r="133" customFormat="false" ht="15" hidden="false" customHeight="false" outlineLevel="0" collapsed="false">
      <c r="A133" s="40"/>
      <c r="B133" s="40"/>
      <c r="C133" s="40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9" t="str">
        <f aca="false">IF(A133="","",SUM(D133:O133))</f>
        <v/>
      </c>
    </row>
    <row r="134" customFormat="false" ht="15" hidden="false" customHeight="false" outlineLevel="0" collapsed="false">
      <c r="A134" s="40"/>
      <c r="B134" s="40"/>
      <c r="C134" s="40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9" t="str">
        <f aca="false">IF(A134="","",SUM(D134:O134))</f>
        <v/>
      </c>
    </row>
    <row r="135" customFormat="false" ht="15" hidden="false" customHeight="false" outlineLevel="0" collapsed="false">
      <c r="A135" s="40"/>
      <c r="B135" s="40"/>
      <c r="C135" s="40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9" t="str">
        <f aca="false">IF(A135="","",SUM(D135:O135))</f>
        <v/>
      </c>
    </row>
    <row r="136" customFormat="false" ht="15" hidden="false" customHeight="false" outlineLevel="0" collapsed="false">
      <c r="A136" s="40"/>
      <c r="B136" s="40"/>
      <c r="C136" s="40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9" t="str">
        <f aca="false">IF(A136="","",SUM(D136:O136))</f>
        <v/>
      </c>
    </row>
    <row r="137" customFormat="false" ht="15" hidden="false" customHeight="false" outlineLevel="0" collapsed="false">
      <c r="A137" s="40"/>
      <c r="B137" s="40"/>
      <c r="C137" s="40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9" t="str">
        <f aca="false">IF(A137="","",SUM(D137:O137))</f>
        <v/>
      </c>
    </row>
    <row r="138" customFormat="false" ht="15" hidden="false" customHeight="false" outlineLevel="0" collapsed="false">
      <c r="A138" s="40"/>
      <c r="B138" s="40"/>
      <c r="C138" s="40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9" t="str">
        <f aca="false">IF(A138="","",SUM(D138:O138))</f>
        <v/>
      </c>
    </row>
    <row r="139" customFormat="false" ht="15" hidden="false" customHeight="false" outlineLevel="0" collapsed="false">
      <c r="A139" s="40"/>
      <c r="B139" s="40"/>
      <c r="C139" s="40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9" t="str">
        <f aca="false">IF(A139="","",SUM(D139:O139))</f>
        <v/>
      </c>
    </row>
    <row r="140" customFormat="false" ht="15" hidden="false" customHeight="false" outlineLevel="0" collapsed="false">
      <c r="A140" s="40"/>
      <c r="B140" s="40"/>
      <c r="C140" s="40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9" t="str">
        <f aca="false">IF(A140="","",SUM(D140:O140))</f>
        <v/>
      </c>
    </row>
    <row r="141" customFormat="false" ht="15" hidden="false" customHeight="false" outlineLevel="0" collapsed="false">
      <c r="A141" s="40"/>
      <c r="B141" s="40"/>
      <c r="C141" s="40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9" t="str">
        <f aca="false">IF(A141="","",SUM(D141:O141))</f>
        <v/>
      </c>
    </row>
    <row r="142" customFormat="false" ht="15" hidden="false" customHeight="false" outlineLevel="0" collapsed="false">
      <c r="A142" s="40"/>
      <c r="B142" s="40"/>
      <c r="C142" s="40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9" t="str">
        <f aca="false">IF(A142="","",SUM(D142:O142))</f>
        <v/>
      </c>
    </row>
    <row r="143" customFormat="false" ht="15" hidden="false" customHeight="false" outlineLevel="0" collapsed="false">
      <c r="A143" s="40"/>
      <c r="B143" s="40"/>
      <c r="C143" s="40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9" t="str">
        <f aca="false">IF(A143="","",SUM(D143:O143))</f>
        <v/>
      </c>
    </row>
    <row r="144" customFormat="false" ht="15" hidden="false" customHeight="false" outlineLevel="0" collapsed="false">
      <c r="A144" s="40"/>
      <c r="B144" s="40"/>
      <c r="C144" s="40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9" t="str">
        <f aca="false">IF(A144="","",SUM(D144:O144))</f>
        <v/>
      </c>
    </row>
    <row r="145" customFormat="false" ht="15" hidden="false" customHeight="false" outlineLevel="0" collapsed="false">
      <c r="A145" s="40"/>
      <c r="B145" s="40"/>
      <c r="C145" s="40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9" t="str">
        <f aca="false">IF(A145="","",SUM(D145:O145))</f>
        <v/>
      </c>
    </row>
    <row r="146" customFormat="false" ht="15" hidden="false" customHeight="false" outlineLevel="0" collapsed="false">
      <c r="A146" s="40"/>
      <c r="B146" s="40"/>
      <c r="C146" s="40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9" t="str">
        <f aca="false">IF(A146="","",SUM(D146:O146))</f>
        <v/>
      </c>
    </row>
    <row r="147" customFormat="false" ht="15" hidden="false" customHeight="false" outlineLevel="0" collapsed="false">
      <c r="A147" s="40"/>
      <c r="B147" s="40"/>
      <c r="C147" s="40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9" t="str">
        <f aca="false">IF(A147="","",SUM(D147:O147))</f>
        <v/>
      </c>
    </row>
    <row r="148" customFormat="false" ht="15" hidden="false" customHeight="false" outlineLevel="0" collapsed="false">
      <c r="A148" s="40"/>
      <c r="B148" s="40"/>
      <c r="C148" s="40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9" t="str">
        <f aca="false">IF(A148="","",SUM(D148:O148))</f>
        <v/>
      </c>
    </row>
    <row r="149" customFormat="false" ht="15" hidden="false" customHeight="false" outlineLevel="0" collapsed="false">
      <c r="A149" s="40"/>
      <c r="B149" s="40"/>
      <c r="C149" s="40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9" t="str">
        <f aca="false">IF(A149="","",SUM(D149:O149))</f>
        <v/>
      </c>
    </row>
    <row r="150" customFormat="false" ht="15" hidden="false" customHeight="false" outlineLevel="0" collapsed="false">
      <c r="A150" s="40"/>
      <c r="B150" s="40"/>
      <c r="C150" s="40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9" t="str">
        <f aca="false">IF(A150="","",SUM(D150:O150))</f>
        <v/>
      </c>
    </row>
    <row r="151" customFormat="false" ht="15" hidden="false" customHeight="false" outlineLevel="0" collapsed="false">
      <c r="A151" s="40"/>
      <c r="B151" s="40"/>
      <c r="C151" s="40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9" t="str">
        <f aca="false">IF(A151="","",SUM(D151:O151))</f>
        <v/>
      </c>
    </row>
    <row r="152" customFormat="false" ht="15" hidden="false" customHeight="false" outlineLevel="0" collapsed="false">
      <c r="A152" s="40"/>
      <c r="B152" s="40"/>
      <c r="C152" s="40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9" t="str">
        <f aca="false">IF(A152="","",SUM(D152:O152))</f>
        <v/>
      </c>
    </row>
    <row r="153" customFormat="false" ht="15" hidden="false" customHeight="false" outlineLevel="0" collapsed="false">
      <c r="A153" s="40"/>
      <c r="B153" s="40"/>
      <c r="C153" s="40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9" t="str">
        <f aca="false">IF(A153="","",SUM(D153:O153))</f>
        <v/>
      </c>
    </row>
    <row r="154" customFormat="false" ht="15" hidden="false" customHeight="false" outlineLevel="0" collapsed="false">
      <c r="A154" s="40"/>
      <c r="B154" s="40"/>
      <c r="C154" s="40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9" t="str">
        <f aca="false">IF(A154="","",SUM(D154:O154))</f>
        <v/>
      </c>
    </row>
    <row r="155" customFormat="false" ht="15" hidden="false" customHeight="false" outlineLevel="0" collapsed="false">
      <c r="A155" s="40"/>
      <c r="B155" s="40"/>
      <c r="C155" s="40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9" t="str">
        <f aca="false">IF(A155="","",SUM(D155:O155))</f>
        <v/>
      </c>
    </row>
    <row r="156" customFormat="false" ht="15" hidden="false" customHeight="false" outlineLevel="0" collapsed="false">
      <c r="A156" s="40"/>
      <c r="B156" s="40"/>
      <c r="C156" s="40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9" t="str">
        <f aca="false">IF(A156="","",SUM(D156:O156))</f>
        <v/>
      </c>
    </row>
    <row r="157" customFormat="false" ht="15" hidden="false" customHeight="false" outlineLevel="0" collapsed="false">
      <c r="A157" s="40"/>
      <c r="B157" s="40"/>
      <c r="C157" s="40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9" t="str">
        <f aca="false">IF(A157="","",SUM(D157:O157))</f>
        <v/>
      </c>
    </row>
    <row r="158" customFormat="false" ht="15" hidden="false" customHeight="false" outlineLevel="0" collapsed="false">
      <c r="A158" s="40"/>
      <c r="B158" s="40"/>
      <c r="C158" s="40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9" t="str">
        <f aca="false">IF(A158="","",SUM(D158:O158))</f>
        <v/>
      </c>
    </row>
    <row r="159" customFormat="false" ht="15" hidden="false" customHeight="false" outlineLevel="0" collapsed="false">
      <c r="A159" s="40"/>
      <c r="B159" s="40"/>
      <c r="C159" s="40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9" t="str">
        <f aca="false">IF(A159="","",SUM(D159:O159))</f>
        <v/>
      </c>
    </row>
    <row r="160" customFormat="false" ht="15" hidden="false" customHeight="false" outlineLevel="0" collapsed="false">
      <c r="A160" s="40"/>
      <c r="B160" s="40"/>
      <c r="C160" s="40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9" t="str">
        <f aca="false">IF(A160="","",SUM(D160:O160))</f>
        <v/>
      </c>
    </row>
    <row r="161" customFormat="false" ht="15" hidden="false" customHeight="false" outlineLevel="0" collapsed="false">
      <c r="A161" s="40"/>
      <c r="B161" s="40"/>
      <c r="C161" s="40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9" t="str">
        <f aca="false">IF(A161="","",SUM(D161:O161))</f>
        <v/>
      </c>
    </row>
    <row r="162" customFormat="false" ht="15" hidden="false" customHeight="false" outlineLevel="0" collapsed="false">
      <c r="A162" s="40"/>
      <c r="B162" s="40"/>
      <c r="C162" s="40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9" t="str">
        <f aca="false">IF(A162="","",SUM(D162:O162))</f>
        <v/>
      </c>
    </row>
    <row r="163" customFormat="false" ht="15" hidden="false" customHeight="false" outlineLevel="0" collapsed="false">
      <c r="A163" s="40"/>
      <c r="B163" s="40"/>
      <c r="C163" s="40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9" t="str">
        <f aca="false">IF(A163="","",SUM(D163:O163))</f>
        <v/>
      </c>
    </row>
    <row r="164" customFormat="false" ht="15" hidden="false" customHeight="false" outlineLevel="0" collapsed="false">
      <c r="A164" s="40"/>
      <c r="B164" s="40"/>
      <c r="C164" s="40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9" t="str">
        <f aca="false">IF(A164="","",SUM(D164:O164))</f>
        <v/>
      </c>
    </row>
    <row r="165" customFormat="false" ht="15" hidden="false" customHeight="false" outlineLevel="0" collapsed="false">
      <c r="A165" s="40"/>
      <c r="B165" s="40"/>
      <c r="C165" s="40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9" t="str">
        <f aca="false">IF(A165="","",SUM(D165:O165))</f>
        <v/>
      </c>
    </row>
    <row r="166" customFormat="false" ht="15" hidden="false" customHeight="false" outlineLevel="0" collapsed="false">
      <c r="A166" s="40"/>
      <c r="B166" s="40"/>
      <c r="C166" s="40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9" t="str">
        <f aca="false">IF(A166="","",SUM(D166:O166))</f>
        <v/>
      </c>
    </row>
    <row r="167" customFormat="false" ht="15" hidden="false" customHeight="false" outlineLevel="0" collapsed="false">
      <c r="A167" s="40"/>
      <c r="B167" s="40"/>
      <c r="C167" s="40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9" t="str">
        <f aca="false">IF(A167="","",SUM(D167:O167))</f>
        <v/>
      </c>
    </row>
    <row r="168" customFormat="false" ht="15" hidden="false" customHeight="false" outlineLevel="0" collapsed="false">
      <c r="A168" s="40"/>
      <c r="B168" s="40"/>
      <c r="C168" s="40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9" t="str">
        <f aca="false">IF(A168="","",SUM(D168:O168))</f>
        <v/>
      </c>
    </row>
    <row r="169" customFormat="false" ht="15" hidden="false" customHeight="false" outlineLevel="0" collapsed="false">
      <c r="A169" s="40"/>
      <c r="B169" s="40"/>
      <c r="C169" s="40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9" t="str">
        <f aca="false">IF(A169="","",SUM(D169:O169))</f>
        <v/>
      </c>
    </row>
    <row r="170" customFormat="false" ht="15" hidden="false" customHeight="false" outlineLevel="0" collapsed="false">
      <c r="A170" s="40"/>
      <c r="B170" s="40"/>
      <c r="C170" s="40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9" t="str">
        <f aca="false">IF(A170="","",SUM(D170:O170))</f>
        <v/>
      </c>
    </row>
    <row r="171" customFormat="false" ht="15" hidden="false" customHeight="false" outlineLevel="0" collapsed="false">
      <c r="A171" s="40"/>
      <c r="B171" s="40"/>
      <c r="C171" s="40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9" t="str">
        <f aca="false">IF(A171="","",SUM(D171:O171))</f>
        <v/>
      </c>
    </row>
    <row r="172" customFormat="false" ht="15" hidden="false" customHeight="false" outlineLevel="0" collapsed="false">
      <c r="A172" s="40"/>
      <c r="B172" s="40"/>
      <c r="C172" s="40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9" t="str">
        <f aca="false">IF(A172="","",SUM(D172:O172))</f>
        <v/>
      </c>
    </row>
    <row r="173" customFormat="false" ht="15" hidden="false" customHeight="false" outlineLevel="0" collapsed="false">
      <c r="A173" s="40"/>
      <c r="B173" s="40"/>
      <c r="C173" s="40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9" t="str">
        <f aca="false">IF(A173="","",SUM(D173:O173))</f>
        <v/>
      </c>
    </row>
    <row r="174" customFormat="false" ht="15" hidden="false" customHeight="false" outlineLevel="0" collapsed="false">
      <c r="A174" s="40"/>
      <c r="B174" s="40"/>
      <c r="C174" s="40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9" t="str">
        <f aca="false">IF(A174="","",SUM(D174:O174))</f>
        <v/>
      </c>
    </row>
    <row r="175" customFormat="false" ht="15" hidden="false" customHeight="false" outlineLevel="0" collapsed="false">
      <c r="A175" s="40"/>
      <c r="B175" s="40"/>
      <c r="C175" s="40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9" t="str">
        <f aca="false">IF(A175="","",SUM(D175:O175))</f>
        <v/>
      </c>
    </row>
    <row r="176" customFormat="false" ht="15" hidden="false" customHeight="false" outlineLevel="0" collapsed="false">
      <c r="A176" s="40"/>
      <c r="B176" s="40"/>
      <c r="C176" s="40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9" t="str">
        <f aca="false">IF(A176="","",SUM(D176:O176))</f>
        <v/>
      </c>
    </row>
    <row r="177" customFormat="false" ht="15" hidden="false" customHeight="false" outlineLevel="0" collapsed="false">
      <c r="A177" s="40"/>
      <c r="B177" s="40"/>
      <c r="C177" s="40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9" t="str">
        <f aca="false">IF(A177="","",SUM(D177:O177))</f>
        <v/>
      </c>
    </row>
    <row r="178" customFormat="false" ht="15" hidden="false" customHeight="false" outlineLevel="0" collapsed="false">
      <c r="A178" s="40"/>
      <c r="B178" s="40"/>
      <c r="C178" s="40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9" t="str">
        <f aca="false">IF(A178="","",SUM(D178:O178))</f>
        <v/>
      </c>
    </row>
    <row r="179" customFormat="false" ht="15" hidden="false" customHeight="false" outlineLevel="0" collapsed="false">
      <c r="A179" s="40"/>
      <c r="B179" s="40"/>
      <c r="C179" s="40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9" t="str">
        <f aca="false">IF(A179="","",SUM(D179:O179))</f>
        <v/>
      </c>
    </row>
    <row r="180" customFormat="false" ht="15" hidden="false" customHeight="false" outlineLevel="0" collapsed="false">
      <c r="A180" s="40"/>
      <c r="B180" s="40"/>
      <c r="C180" s="40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9" t="str">
        <f aca="false">IF(A180="","",SUM(D180:O180))</f>
        <v/>
      </c>
    </row>
    <row r="181" customFormat="false" ht="15" hidden="false" customHeight="false" outlineLevel="0" collapsed="false">
      <c r="A181" s="40"/>
      <c r="B181" s="40"/>
      <c r="C181" s="40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9" t="str">
        <f aca="false">IF(A181="","",SUM(D181:O181))</f>
        <v/>
      </c>
    </row>
    <row r="182" customFormat="false" ht="15" hidden="false" customHeight="false" outlineLevel="0" collapsed="false">
      <c r="A182" s="40"/>
      <c r="B182" s="40"/>
      <c r="C182" s="40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9" t="str">
        <f aca="false">IF(A182="","",SUM(D182:O182))</f>
        <v/>
      </c>
    </row>
    <row r="183" customFormat="false" ht="15" hidden="false" customHeight="false" outlineLevel="0" collapsed="false">
      <c r="A183" s="40"/>
      <c r="B183" s="40"/>
      <c r="C183" s="40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9" t="str">
        <f aca="false">IF(A183="","",SUM(D183:O183))</f>
        <v/>
      </c>
    </row>
    <row r="184" customFormat="false" ht="15" hidden="false" customHeight="false" outlineLevel="0" collapsed="false">
      <c r="A184" s="40"/>
      <c r="B184" s="40"/>
      <c r="C184" s="40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9" t="str">
        <f aca="false">IF(A184="","",SUM(D184:O184))</f>
        <v/>
      </c>
    </row>
    <row r="185" customFormat="false" ht="15" hidden="false" customHeight="false" outlineLevel="0" collapsed="false">
      <c r="A185" s="40"/>
      <c r="B185" s="40"/>
      <c r="C185" s="40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9" t="str">
        <f aca="false">IF(A185="","",SUM(D185:O185))</f>
        <v/>
      </c>
    </row>
    <row r="186" customFormat="false" ht="15" hidden="false" customHeight="false" outlineLevel="0" collapsed="false">
      <c r="A186" s="40"/>
      <c r="B186" s="40"/>
      <c r="C186" s="40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9" t="str">
        <f aca="false">IF(A186="","",SUM(D186:O186))</f>
        <v/>
      </c>
    </row>
    <row r="187" customFormat="false" ht="15" hidden="false" customHeight="false" outlineLevel="0" collapsed="false">
      <c r="A187" s="40"/>
      <c r="B187" s="40"/>
      <c r="C187" s="40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9" t="str">
        <f aca="false">IF(A187="","",SUM(D187:O187))</f>
        <v/>
      </c>
    </row>
    <row r="188" customFormat="false" ht="15" hidden="false" customHeight="false" outlineLevel="0" collapsed="false">
      <c r="A188" s="40"/>
      <c r="B188" s="40"/>
      <c r="C188" s="40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9" t="str">
        <f aca="false">IF(A188="","",SUM(D188:O188))</f>
        <v/>
      </c>
    </row>
    <row r="189" customFormat="false" ht="15" hidden="false" customHeight="false" outlineLevel="0" collapsed="false">
      <c r="A189" s="40"/>
      <c r="B189" s="40"/>
      <c r="C189" s="40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9" t="str">
        <f aca="false">IF(A189="","",SUM(D189:O189))</f>
        <v/>
      </c>
    </row>
    <row r="190" customFormat="false" ht="15" hidden="false" customHeight="false" outlineLevel="0" collapsed="false">
      <c r="A190" s="40"/>
      <c r="B190" s="40"/>
      <c r="C190" s="40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9" t="str">
        <f aca="false">IF(A190="","",SUM(D190:O190))</f>
        <v/>
      </c>
    </row>
    <row r="191" customFormat="false" ht="15" hidden="false" customHeight="false" outlineLevel="0" collapsed="false">
      <c r="A191" s="40"/>
      <c r="B191" s="40"/>
      <c r="C191" s="40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9" t="str">
        <f aca="false">IF(A191="","",SUM(D191:O191))</f>
        <v/>
      </c>
    </row>
    <row r="192" customFormat="false" ht="15" hidden="false" customHeight="false" outlineLevel="0" collapsed="false">
      <c r="A192" s="40"/>
      <c r="B192" s="40"/>
      <c r="C192" s="40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9" t="str">
        <f aca="false">IF(A192="","",SUM(D192:O192))</f>
        <v/>
      </c>
    </row>
    <row r="193" customFormat="false" ht="15" hidden="false" customHeight="false" outlineLevel="0" collapsed="false">
      <c r="A193" s="40"/>
      <c r="B193" s="40"/>
      <c r="C193" s="40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9" t="str">
        <f aca="false">IF(A193="","",SUM(D193:O193))</f>
        <v/>
      </c>
    </row>
    <row r="194" customFormat="false" ht="15" hidden="false" customHeight="false" outlineLevel="0" collapsed="false">
      <c r="A194" s="40"/>
      <c r="B194" s="40"/>
      <c r="C194" s="40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9" t="str">
        <f aca="false">IF(A194="","",SUM(D194:O194))</f>
        <v/>
      </c>
    </row>
    <row r="195" customFormat="false" ht="15" hidden="false" customHeight="false" outlineLevel="0" collapsed="false">
      <c r="A195" s="40"/>
      <c r="B195" s="40"/>
      <c r="C195" s="40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9" t="str">
        <f aca="false">IF(A195="","",SUM(D195:O195))</f>
        <v/>
      </c>
    </row>
    <row r="196" customFormat="false" ht="15" hidden="false" customHeight="false" outlineLevel="0" collapsed="false">
      <c r="A196" s="40"/>
      <c r="B196" s="40"/>
      <c r="C196" s="40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9" t="str">
        <f aca="false">IF(A196="","",SUM(D196:O196))</f>
        <v/>
      </c>
    </row>
    <row r="197" customFormat="false" ht="15" hidden="false" customHeight="false" outlineLevel="0" collapsed="false">
      <c r="A197" s="40"/>
      <c r="B197" s="40"/>
      <c r="C197" s="40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9" t="str">
        <f aca="false">IF(A197="","",SUM(D197:O197))</f>
        <v/>
      </c>
    </row>
    <row r="198" customFormat="false" ht="15" hidden="false" customHeight="false" outlineLevel="0" collapsed="false">
      <c r="A198" s="40"/>
      <c r="B198" s="40"/>
      <c r="C198" s="40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9" t="str">
        <f aca="false">IF(A198="","",SUM(D198:O198))</f>
        <v/>
      </c>
    </row>
    <row r="199" customFormat="false" ht="15" hidden="false" customHeight="false" outlineLevel="0" collapsed="false">
      <c r="A199" s="40"/>
      <c r="B199" s="40"/>
      <c r="C199" s="40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9" t="str">
        <f aca="false">IF(A199="","",SUM(D199:O199))</f>
        <v/>
      </c>
    </row>
    <row r="200" customFormat="false" ht="15" hidden="false" customHeight="false" outlineLevel="0" collapsed="false">
      <c r="A200" s="40"/>
      <c r="B200" s="40"/>
      <c r="C200" s="40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9" t="str">
        <f aca="false">IF(A200="","",SUM(D200:O200))</f>
        <v/>
      </c>
    </row>
    <row r="201" customFormat="false" ht="15" hidden="false" customHeight="false" outlineLevel="0" collapsed="false">
      <c r="A201" s="40"/>
      <c r="B201" s="40"/>
      <c r="C201" s="40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9" t="str">
        <f aca="false">IF(A201="","",SUM(D201:O201))</f>
        <v/>
      </c>
    </row>
    <row r="202" customFormat="false" ht="15" hidden="false" customHeight="false" outlineLevel="0" collapsed="false">
      <c r="A202" s="40"/>
      <c r="B202" s="40"/>
      <c r="C202" s="40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9" t="str">
        <f aca="false">IF(A202="","",SUM(D202:O202))</f>
        <v/>
      </c>
    </row>
    <row r="203" customFormat="false" ht="15" hidden="false" customHeight="false" outlineLevel="0" collapsed="false">
      <c r="A203" s="40"/>
      <c r="B203" s="40"/>
      <c r="C203" s="40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9" t="str">
        <f aca="false">IF(A203="","",SUM(D203:O203))</f>
        <v/>
      </c>
    </row>
    <row r="204" customFormat="false" ht="15" hidden="false" customHeight="false" outlineLevel="0" collapsed="false">
      <c r="A204" s="40"/>
      <c r="B204" s="40"/>
      <c r="C204" s="40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9" t="str">
        <f aca="false">IF(A204="","",SUM(D204:O204))</f>
        <v/>
      </c>
    </row>
  </sheetData>
  <dataValidations count="1">
    <dataValidation allowBlank="true" errorStyle="stop" operator="between" showDropDown="false" showErrorMessage="false" showInputMessage="false" sqref="C5:C204" type="list">
      <formula1>"매출,비용"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15" min="4" style="0" width="9"/>
    <col collapsed="false" customWidth="true" hidden="false" outlineLevel="0" max="16" min="16" style="0" width="11"/>
  </cols>
  <sheetData>
    <row r="1" customFormat="false" ht="17.35" hidden="false" customHeight="false" outlineLevel="0" collapsed="false">
      <c r="A1" s="27" t="s">
        <v>90</v>
      </c>
    </row>
    <row r="2" customFormat="false" ht="15" hidden="false" customHeight="false" outlineLevel="0" collapsed="false">
      <c r="A2" s="32" t="s">
        <v>91</v>
      </c>
    </row>
    <row r="3" customFormat="false" ht="15" hidden="false" customHeight="false" outlineLevel="0" collapsed="false">
      <c r="A3" s="36" t="str">
        <f aca="false">"단위: "&amp;설정!$B$7</f>
        <v>단위: 백만원</v>
      </c>
    </row>
    <row r="4" customFormat="false" ht="15" hidden="false" customHeight="false" outlineLevel="0" collapsed="false">
      <c r="A4" s="5" t="s">
        <v>60</v>
      </c>
      <c r="B4" s="5" t="s">
        <v>37</v>
      </c>
      <c r="C4" s="5" t="s">
        <v>21</v>
      </c>
      <c r="D4" s="6" t="s">
        <v>61</v>
      </c>
      <c r="E4" s="6" t="s">
        <v>62</v>
      </c>
      <c r="F4" s="6" t="s">
        <v>63</v>
      </c>
      <c r="G4" s="6" t="s">
        <v>64</v>
      </c>
      <c r="H4" s="6" t="s">
        <v>65</v>
      </c>
      <c r="I4" s="6" t="s">
        <v>66</v>
      </c>
      <c r="J4" s="6" t="s">
        <v>67</v>
      </c>
      <c r="K4" s="6" t="s">
        <v>68</v>
      </c>
      <c r="L4" s="6" t="s">
        <v>69</v>
      </c>
      <c r="M4" s="6" t="s">
        <v>70</v>
      </c>
      <c r="N4" s="6" t="s">
        <v>71</v>
      </c>
      <c r="O4" s="6" t="s">
        <v>72</v>
      </c>
      <c r="P4" s="5" t="s">
        <v>73</v>
      </c>
    </row>
    <row r="5" customFormat="false" ht="15" hidden="false" customHeight="false" outlineLevel="0" collapsed="false">
      <c r="A5" s="37" t="n">
        <v>4010</v>
      </c>
      <c r="B5" s="38" t="s">
        <v>74</v>
      </c>
      <c r="C5" s="38" t="s">
        <v>31</v>
      </c>
      <c r="D5" s="39" t="n">
        <v>1081</v>
      </c>
      <c r="E5" s="39" t="n">
        <v>1035</v>
      </c>
      <c r="F5" s="39" t="n">
        <v>1222</v>
      </c>
      <c r="G5" s="39" t="n">
        <v>1138</v>
      </c>
      <c r="H5" s="39" t="n">
        <v>1229</v>
      </c>
      <c r="I5" s="39" t="n">
        <v>1240</v>
      </c>
      <c r="J5" s="39" t="n">
        <v>1114</v>
      </c>
      <c r="K5" s="39" t="n">
        <v>1165</v>
      </c>
      <c r="L5" s="39" t="n">
        <v>1051</v>
      </c>
      <c r="M5" s="41"/>
      <c r="N5" s="41"/>
      <c r="O5" s="41"/>
      <c r="P5" s="9" t="n">
        <f aca="false">IF(A5="","",SUM(D5:O5))</f>
        <v>10275</v>
      </c>
    </row>
    <row r="6" customFormat="false" ht="15" hidden="false" customHeight="false" outlineLevel="0" collapsed="false">
      <c r="A6" s="37" t="n">
        <v>4020</v>
      </c>
      <c r="B6" s="38" t="s">
        <v>75</v>
      </c>
      <c r="C6" s="38" t="s">
        <v>31</v>
      </c>
      <c r="D6" s="39" t="n">
        <v>274</v>
      </c>
      <c r="E6" s="39" t="n">
        <v>256</v>
      </c>
      <c r="F6" s="39" t="n">
        <v>285</v>
      </c>
      <c r="G6" s="39" t="n">
        <v>297</v>
      </c>
      <c r="H6" s="39" t="n">
        <v>318</v>
      </c>
      <c r="I6" s="39" t="n">
        <v>301</v>
      </c>
      <c r="J6" s="39" t="n">
        <v>284</v>
      </c>
      <c r="K6" s="39" t="n">
        <v>295</v>
      </c>
      <c r="L6" s="39" t="n">
        <v>326</v>
      </c>
      <c r="M6" s="41"/>
      <c r="N6" s="41"/>
      <c r="O6" s="41"/>
      <c r="P6" s="9" t="n">
        <f aca="false">IF(A6="","",SUM(D6:O6))</f>
        <v>2636</v>
      </c>
    </row>
    <row r="7" customFormat="false" ht="15" hidden="false" customHeight="false" outlineLevel="0" collapsed="false">
      <c r="A7" s="37" t="n">
        <v>4030</v>
      </c>
      <c r="B7" s="38" t="s">
        <v>76</v>
      </c>
      <c r="C7" s="38" t="s">
        <v>31</v>
      </c>
      <c r="D7" s="39" t="n">
        <v>139</v>
      </c>
      <c r="E7" s="39" t="n">
        <v>133</v>
      </c>
      <c r="F7" s="39" t="n">
        <v>159</v>
      </c>
      <c r="G7" s="39" t="n">
        <v>142</v>
      </c>
      <c r="H7" s="39" t="n">
        <v>160</v>
      </c>
      <c r="I7" s="39" t="n">
        <v>154</v>
      </c>
      <c r="J7" s="39" t="n">
        <v>141</v>
      </c>
      <c r="K7" s="39" t="n">
        <v>139</v>
      </c>
      <c r="L7" s="39" t="n">
        <v>192</v>
      </c>
      <c r="M7" s="41"/>
      <c r="N7" s="41"/>
      <c r="O7" s="41"/>
      <c r="P7" s="9" t="n">
        <f aca="false">IF(A7="","",SUM(D7:O7))</f>
        <v>1359</v>
      </c>
    </row>
    <row r="8" customFormat="false" ht="15" hidden="false" customHeight="false" outlineLevel="0" collapsed="false">
      <c r="A8" s="37" t="n">
        <v>5010</v>
      </c>
      <c r="B8" s="38" t="s">
        <v>77</v>
      </c>
      <c r="C8" s="38" t="s">
        <v>32</v>
      </c>
      <c r="D8" s="39" t="n">
        <v>477</v>
      </c>
      <c r="E8" s="39" t="n">
        <v>433</v>
      </c>
      <c r="F8" s="39" t="n">
        <v>505</v>
      </c>
      <c r="G8" s="39" t="n">
        <v>508</v>
      </c>
      <c r="H8" s="39" t="n">
        <v>502</v>
      </c>
      <c r="I8" s="39" t="n">
        <v>528</v>
      </c>
      <c r="J8" s="39" t="n">
        <v>464</v>
      </c>
      <c r="K8" s="39" t="n">
        <v>459</v>
      </c>
      <c r="L8" s="39" t="n">
        <v>587</v>
      </c>
      <c r="M8" s="41"/>
      <c r="N8" s="41"/>
      <c r="O8" s="41"/>
      <c r="P8" s="9" t="n">
        <f aca="false">IF(A8="","",SUM(D8:O8))</f>
        <v>4463</v>
      </c>
    </row>
    <row r="9" customFormat="false" ht="15" hidden="false" customHeight="false" outlineLevel="0" collapsed="false">
      <c r="A9" s="37" t="n">
        <v>5020</v>
      </c>
      <c r="B9" s="38" t="s">
        <v>78</v>
      </c>
      <c r="C9" s="38" t="s">
        <v>32</v>
      </c>
      <c r="D9" s="39" t="n">
        <v>112</v>
      </c>
      <c r="E9" s="39" t="n">
        <v>107</v>
      </c>
      <c r="F9" s="39" t="n">
        <v>117</v>
      </c>
      <c r="G9" s="39" t="n">
        <v>121</v>
      </c>
      <c r="H9" s="39" t="n">
        <v>121</v>
      </c>
      <c r="I9" s="39" t="n">
        <v>123</v>
      </c>
      <c r="J9" s="39" t="n">
        <v>122</v>
      </c>
      <c r="K9" s="39" t="n">
        <v>119</v>
      </c>
      <c r="L9" s="39" t="n">
        <v>120</v>
      </c>
      <c r="M9" s="41"/>
      <c r="N9" s="41"/>
      <c r="O9" s="41"/>
      <c r="P9" s="9" t="n">
        <f aca="false">IF(A9="","",SUM(D9:O9))</f>
        <v>1062</v>
      </c>
    </row>
    <row r="10" customFormat="false" ht="15" hidden="false" customHeight="false" outlineLevel="0" collapsed="false">
      <c r="A10" s="37" t="n">
        <v>6010</v>
      </c>
      <c r="B10" s="38" t="s">
        <v>79</v>
      </c>
      <c r="C10" s="38" t="s">
        <v>32</v>
      </c>
      <c r="D10" s="39" t="n">
        <v>232</v>
      </c>
      <c r="E10" s="39" t="n">
        <v>226</v>
      </c>
      <c r="F10" s="39" t="n">
        <v>261</v>
      </c>
      <c r="G10" s="39" t="n">
        <v>257</v>
      </c>
      <c r="H10" s="39" t="n">
        <v>249</v>
      </c>
      <c r="I10" s="39" t="n">
        <v>277</v>
      </c>
      <c r="J10" s="39" t="n">
        <v>234</v>
      </c>
      <c r="K10" s="39" t="n">
        <v>240</v>
      </c>
      <c r="L10" s="39" t="n">
        <v>266</v>
      </c>
      <c r="M10" s="41"/>
      <c r="N10" s="41"/>
      <c r="O10" s="41"/>
      <c r="P10" s="9" t="n">
        <f aca="false">IF(A10="","",SUM(D10:O10))</f>
        <v>2242</v>
      </c>
    </row>
    <row r="11" customFormat="false" ht="15" hidden="false" customHeight="false" outlineLevel="0" collapsed="false">
      <c r="A11" s="37" t="n">
        <v>6020</v>
      </c>
      <c r="B11" s="38" t="s">
        <v>80</v>
      </c>
      <c r="C11" s="38" t="s">
        <v>32</v>
      </c>
      <c r="D11" s="39" t="n">
        <v>17</v>
      </c>
      <c r="E11" s="39" t="n">
        <v>18</v>
      </c>
      <c r="F11" s="39" t="n">
        <v>19</v>
      </c>
      <c r="G11" s="39" t="n">
        <v>20</v>
      </c>
      <c r="H11" s="39" t="n">
        <v>21</v>
      </c>
      <c r="I11" s="39" t="n">
        <v>21</v>
      </c>
      <c r="J11" s="39" t="n">
        <v>21</v>
      </c>
      <c r="K11" s="39" t="n">
        <v>19</v>
      </c>
      <c r="L11" s="39" t="n">
        <v>21</v>
      </c>
      <c r="M11" s="41"/>
      <c r="N11" s="41"/>
      <c r="O11" s="41"/>
      <c r="P11" s="9" t="n">
        <f aca="false">IF(A11="","",SUM(D11:O11))</f>
        <v>177</v>
      </c>
    </row>
    <row r="12" customFormat="false" ht="15" hidden="false" customHeight="false" outlineLevel="0" collapsed="false">
      <c r="A12" s="37" t="n">
        <v>6030</v>
      </c>
      <c r="B12" s="38" t="s">
        <v>81</v>
      </c>
      <c r="C12" s="38" t="s">
        <v>32</v>
      </c>
      <c r="D12" s="39" t="n">
        <v>37</v>
      </c>
      <c r="E12" s="39" t="n">
        <v>36</v>
      </c>
      <c r="F12" s="39" t="n">
        <v>40</v>
      </c>
      <c r="G12" s="39" t="n">
        <v>42</v>
      </c>
      <c r="H12" s="39" t="n">
        <v>43</v>
      </c>
      <c r="I12" s="39" t="n">
        <v>42</v>
      </c>
      <c r="J12" s="39" t="n">
        <v>40</v>
      </c>
      <c r="K12" s="39" t="n">
        <v>37</v>
      </c>
      <c r="L12" s="39" t="n">
        <v>42</v>
      </c>
      <c r="M12" s="41"/>
      <c r="N12" s="41"/>
      <c r="O12" s="41"/>
      <c r="P12" s="9" t="n">
        <f aca="false">IF(A12="","",SUM(D12:O12))</f>
        <v>359</v>
      </c>
    </row>
    <row r="13" customFormat="false" ht="15" hidden="false" customHeight="false" outlineLevel="0" collapsed="false">
      <c r="A13" s="37" t="n">
        <v>6040</v>
      </c>
      <c r="B13" s="38" t="s">
        <v>82</v>
      </c>
      <c r="C13" s="38" t="s">
        <v>32</v>
      </c>
      <c r="D13" s="39" t="n">
        <v>14</v>
      </c>
      <c r="E13" s="39" t="n">
        <v>15</v>
      </c>
      <c r="F13" s="39" t="n">
        <v>16</v>
      </c>
      <c r="G13" s="39" t="n">
        <v>15</v>
      </c>
      <c r="H13" s="39" t="n">
        <v>15</v>
      </c>
      <c r="I13" s="39" t="n">
        <v>16</v>
      </c>
      <c r="J13" s="39" t="n">
        <v>14</v>
      </c>
      <c r="K13" s="39" t="n">
        <v>15</v>
      </c>
      <c r="L13" s="39" t="n">
        <v>14</v>
      </c>
      <c r="M13" s="41"/>
      <c r="N13" s="41"/>
      <c r="O13" s="41"/>
      <c r="P13" s="9" t="n">
        <f aca="false">IF(A13="","",SUM(D13:O13))</f>
        <v>134</v>
      </c>
    </row>
    <row r="14" customFormat="false" ht="15" hidden="false" customHeight="false" outlineLevel="0" collapsed="false">
      <c r="A14" s="37" t="n">
        <v>6050</v>
      </c>
      <c r="B14" s="38" t="s">
        <v>83</v>
      </c>
      <c r="C14" s="38" t="s">
        <v>32</v>
      </c>
      <c r="D14" s="39" t="n">
        <v>9</v>
      </c>
      <c r="E14" s="39" t="n">
        <v>9</v>
      </c>
      <c r="F14" s="39" t="n">
        <v>10</v>
      </c>
      <c r="G14" s="39" t="n">
        <v>10</v>
      </c>
      <c r="H14" s="39" t="n">
        <v>10</v>
      </c>
      <c r="I14" s="39" t="n">
        <v>10</v>
      </c>
      <c r="J14" s="39" t="n">
        <v>10</v>
      </c>
      <c r="K14" s="39" t="n">
        <v>9</v>
      </c>
      <c r="L14" s="39" t="n">
        <v>10</v>
      </c>
      <c r="M14" s="41"/>
      <c r="N14" s="41"/>
      <c r="O14" s="41"/>
      <c r="P14" s="9" t="n">
        <f aca="false">IF(A14="","",SUM(D14:O14))</f>
        <v>87</v>
      </c>
    </row>
    <row r="15" customFormat="false" ht="15" hidden="false" customHeight="false" outlineLevel="0" collapsed="false">
      <c r="A15" s="37" t="n">
        <v>6060</v>
      </c>
      <c r="B15" s="38" t="s">
        <v>84</v>
      </c>
      <c r="C15" s="38" t="s">
        <v>32</v>
      </c>
      <c r="D15" s="39" t="n">
        <v>55</v>
      </c>
      <c r="E15" s="39" t="n">
        <v>56</v>
      </c>
      <c r="F15" s="39" t="n">
        <v>62</v>
      </c>
      <c r="G15" s="39" t="n">
        <v>63</v>
      </c>
      <c r="H15" s="39" t="n">
        <v>59</v>
      </c>
      <c r="I15" s="39" t="n">
        <v>62</v>
      </c>
      <c r="J15" s="39" t="n">
        <v>58</v>
      </c>
      <c r="K15" s="39" t="n">
        <v>61</v>
      </c>
      <c r="L15" s="39" t="n">
        <v>118</v>
      </c>
      <c r="M15" s="41"/>
      <c r="N15" s="41"/>
      <c r="O15" s="41"/>
      <c r="P15" s="9" t="n">
        <f aca="false">IF(A15="","",SUM(D15:O15))</f>
        <v>594</v>
      </c>
    </row>
    <row r="16" customFormat="false" ht="15" hidden="false" customHeight="false" outlineLevel="0" collapsed="false">
      <c r="A16" s="37" t="n">
        <v>6070</v>
      </c>
      <c r="B16" s="38" t="s">
        <v>85</v>
      </c>
      <c r="C16" s="38" t="s">
        <v>32</v>
      </c>
      <c r="D16" s="39" t="n">
        <v>39</v>
      </c>
      <c r="E16" s="39" t="n">
        <v>38</v>
      </c>
      <c r="F16" s="39" t="n">
        <v>44</v>
      </c>
      <c r="G16" s="39" t="n">
        <v>44</v>
      </c>
      <c r="H16" s="39" t="n">
        <v>46</v>
      </c>
      <c r="I16" s="39" t="n">
        <v>48</v>
      </c>
      <c r="J16" s="39" t="n">
        <v>43</v>
      </c>
      <c r="K16" s="39" t="n">
        <v>41</v>
      </c>
      <c r="L16" s="39" t="n">
        <v>62</v>
      </c>
      <c r="M16" s="41"/>
      <c r="N16" s="41"/>
      <c r="O16" s="41"/>
      <c r="P16" s="9" t="n">
        <f aca="false">IF(A16="","",SUM(D16:O16))</f>
        <v>405</v>
      </c>
    </row>
    <row r="17" customFormat="false" ht="15" hidden="false" customHeight="false" outlineLevel="0" collapsed="false">
      <c r="A17" s="37" t="n">
        <v>6080</v>
      </c>
      <c r="B17" s="38" t="s">
        <v>86</v>
      </c>
      <c r="C17" s="38" t="s">
        <v>32</v>
      </c>
      <c r="D17" s="39" t="n">
        <v>63</v>
      </c>
      <c r="E17" s="39" t="n">
        <v>64</v>
      </c>
      <c r="F17" s="39" t="n">
        <v>74</v>
      </c>
      <c r="G17" s="39" t="n">
        <v>72</v>
      </c>
      <c r="H17" s="39" t="n">
        <v>71</v>
      </c>
      <c r="I17" s="39" t="n">
        <v>75</v>
      </c>
      <c r="J17" s="39" t="n">
        <v>70</v>
      </c>
      <c r="K17" s="39" t="n">
        <v>64</v>
      </c>
      <c r="L17" s="39" t="n">
        <v>75</v>
      </c>
      <c r="M17" s="41"/>
      <c r="N17" s="41"/>
      <c r="O17" s="41"/>
      <c r="P17" s="9" t="n">
        <f aca="false">IF(A17="","",SUM(D17:O17))</f>
        <v>628</v>
      </c>
    </row>
    <row r="18" customFormat="false" ht="15" hidden="false" customHeight="false" outlineLevel="0" collapsed="false">
      <c r="A18" s="37" t="n">
        <v>6090</v>
      </c>
      <c r="B18" s="38" t="s">
        <v>87</v>
      </c>
      <c r="C18" s="38" t="s">
        <v>32</v>
      </c>
      <c r="D18" s="39" t="n">
        <v>33</v>
      </c>
      <c r="E18" s="39" t="n">
        <v>33</v>
      </c>
      <c r="F18" s="39" t="n">
        <v>36</v>
      </c>
      <c r="G18" s="39" t="n">
        <v>35</v>
      </c>
      <c r="H18" s="39" t="n">
        <v>36</v>
      </c>
      <c r="I18" s="39" t="n">
        <v>35</v>
      </c>
      <c r="J18" s="39" t="n">
        <v>35</v>
      </c>
      <c r="K18" s="39" t="n">
        <v>32</v>
      </c>
      <c r="L18" s="39" t="n">
        <v>34</v>
      </c>
      <c r="M18" s="41"/>
      <c r="N18" s="41"/>
      <c r="O18" s="41"/>
      <c r="P18" s="9" t="n">
        <f aca="false">IF(A18="","",SUM(D18:O18))</f>
        <v>309</v>
      </c>
    </row>
    <row r="19" customFormat="false" ht="15" hidden="false" customHeight="false" outlineLevel="0" collapsed="false">
      <c r="A19" s="37" t="n">
        <v>6100</v>
      </c>
      <c r="B19" s="38" t="s">
        <v>88</v>
      </c>
      <c r="C19" s="38" t="s">
        <v>32</v>
      </c>
      <c r="D19" s="39" t="n">
        <v>22</v>
      </c>
      <c r="E19" s="39" t="n">
        <v>21</v>
      </c>
      <c r="F19" s="39" t="n">
        <v>25</v>
      </c>
      <c r="G19" s="39" t="n">
        <v>24</v>
      </c>
      <c r="H19" s="39" t="n">
        <v>24</v>
      </c>
      <c r="I19" s="39" t="n">
        <v>25</v>
      </c>
      <c r="J19" s="39" t="n">
        <v>23</v>
      </c>
      <c r="K19" s="39" t="n">
        <v>24</v>
      </c>
      <c r="L19" s="39" t="n">
        <v>25</v>
      </c>
      <c r="M19" s="41"/>
      <c r="N19" s="41"/>
      <c r="O19" s="41"/>
      <c r="P19" s="9" t="n">
        <f aca="false">IF(A19="","",SUM(D19:O19))</f>
        <v>213</v>
      </c>
    </row>
    <row r="20" customFormat="false" ht="15" hidden="false" customHeight="false" outlineLevel="0" collapsed="false">
      <c r="A20" s="37" t="n">
        <v>6110</v>
      </c>
      <c r="B20" s="38" t="s">
        <v>89</v>
      </c>
      <c r="C20" s="38" t="s">
        <v>32</v>
      </c>
      <c r="D20" s="39" t="n">
        <v>77</v>
      </c>
      <c r="E20" s="39" t="n">
        <v>73</v>
      </c>
      <c r="F20" s="39" t="n">
        <v>77</v>
      </c>
      <c r="G20" s="39" t="n">
        <v>78</v>
      </c>
      <c r="H20" s="39" t="n">
        <v>80</v>
      </c>
      <c r="I20" s="39" t="n">
        <v>83</v>
      </c>
      <c r="J20" s="39" t="n">
        <v>74</v>
      </c>
      <c r="K20" s="39" t="n">
        <v>81</v>
      </c>
      <c r="L20" s="39" t="n">
        <v>57</v>
      </c>
      <c r="M20" s="41"/>
      <c r="N20" s="41"/>
      <c r="O20" s="41"/>
      <c r="P20" s="9" t="n">
        <f aca="false">IF(A20="","",SUM(D20:O20))</f>
        <v>680</v>
      </c>
    </row>
    <row r="21" customFormat="false" ht="15" hidden="false" customHeight="false" outlineLevel="0" collapsed="false">
      <c r="A21" s="40"/>
      <c r="B21" s="40"/>
      <c r="C21" s="40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9" t="str">
        <f aca="false">IF(A21="","",SUM(D21:O21))</f>
        <v/>
      </c>
    </row>
    <row r="22" customFormat="false" ht="15" hidden="false" customHeight="false" outlineLevel="0" collapsed="false">
      <c r="A22" s="40"/>
      <c r="B22" s="40"/>
      <c r="C22" s="40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9" t="str">
        <f aca="false">IF(A22="","",SUM(D22:O22))</f>
        <v/>
      </c>
    </row>
    <row r="23" customFormat="false" ht="15" hidden="false" customHeight="false" outlineLevel="0" collapsed="false">
      <c r="A23" s="40"/>
      <c r="B23" s="40"/>
      <c r="C23" s="40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9" t="str">
        <f aca="false">IF(A23="","",SUM(D23:O23))</f>
        <v/>
      </c>
    </row>
    <row r="24" customFormat="false" ht="15" hidden="false" customHeight="false" outlineLevel="0" collapsed="false">
      <c r="A24" s="40"/>
      <c r="B24" s="40"/>
      <c r="C24" s="40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9" t="str">
        <f aca="false">IF(A24="","",SUM(D24:O24))</f>
        <v/>
      </c>
    </row>
    <row r="25" customFormat="false" ht="15" hidden="false" customHeight="false" outlineLevel="0" collapsed="false">
      <c r="A25" s="40"/>
      <c r="B25" s="40"/>
      <c r="C25" s="40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9" t="str">
        <f aca="false">IF(A25="","",SUM(D25:O25))</f>
        <v/>
      </c>
    </row>
    <row r="26" customFormat="false" ht="15" hidden="false" customHeight="false" outlineLevel="0" collapsed="false">
      <c r="A26" s="40"/>
      <c r="B26" s="40"/>
      <c r="C26" s="40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9" t="str">
        <f aca="false">IF(A26="","",SUM(D26:O26))</f>
        <v/>
      </c>
    </row>
    <row r="27" customFormat="false" ht="15" hidden="false" customHeight="false" outlineLevel="0" collapsed="false">
      <c r="A27" s="40"/>
      <c r="B27" s="40"/>
      <c r="C27" s="40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9" t="str">
        <f aca="false">IF(A27="","",SUM(D27:O27))</f>
        <v/>
      </c>
    </row>
    <row r="28" customFormat="false" ht="15" hidden="false" customHeight="false" outlineLevel="0" collapsed="false">
      <c r="A28" s="40"/>
      <c r="B28" s="40"/>
      <c r="C28" s="40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9" t="str">
        <f aca="false">IF(A28="","",SUM(D28:O28))</f>
        <v/>
      </c>
    </row>
    <row r="29" customFormat="false" ht="15" hidden="false" customHeight="false" outlineLevel="0" collapsed="false">
      <c r="A29" s="40"/>
      <c r="B29" s="40"/>
      <c r="C29" s="40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9" t="str">
        <f aca="false">IF(A29="","",SUM(D29:O29))</f>
        <v/>
      </c>
    </row>
    <row r="30" customFormat="false" ht="15" hidden="false" customHeight="false" outlineLevel="0" collapsed="false">
      <c r="A30" s="40"/>
      <c r="B30" s="40"/>
      <c r="C30" s="40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9" t="str">
        <f aca="false">IF(A30="","",SUM(D30:O30))</f>
        <v/>
      </c>
    </row>
    <row r="31" customFormat="false" ht="15" hidden="false" customHeight="false" outlineLevel="0" collapsed="false">
      <c r="A31" s="40"/>
      <c r="B31" s="40"/>
      <c r="C31" s="40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9" t="str">
        <f aca="false">IF(A31="","",SUM(D31:O31))</f>
        <v/>
      </c>
    </row>
    <row r="32" customFormat="false" ht="15" hidden="false" customHeight="false" outlineLevel="0" collapsed="false">
      <c r="A32" s="40"/>
      <c r="B32" s="40"/>
      <c r="C32" s="40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9" t="str">
        <f aca="false">IF(A32="","",SUM(D32:O32))</f>
        <v/>
      </c>
    </row>
    <row r="33" customFormat="false" ht="15" hidden="false" customHeight="false" outlineLevel="0" collapsed="false">
      <c r="A33" s="40"/>
      <c r="B33" s="40"/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9" t="str">
        <f aca="false">IF(A33="","",SUM(D33:O33))</f>
        <v/>
      </c>
    </row>
    <row r="34" customFormat="false" ht="15" hidden="false" customHeight="false" outlineLevel="0" collapsed="false">
      <c r="A34" s="40"/>
      <c r="B34" s="40"/>
      <c r="C34" s="40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9" t="str">
        <f aca="false">IF(A34="","",SUM(D34:O34))</f>
        <v/>
      </c>
    </row>
    <row r="35" customFormat="false" ht="15" hidden="false" customHeight="false" outlineLevel="0" collapsed="false">
      <c r="A35" s="40"/>
      <c r="B35" s="40"/>
      <c r="C35" s="40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9" t="str">
        <f aca="false">IF(A35="","",SUM(D35:O35))</f>
        <v/>
      </c>
    </row>
    <row r="36" customFormat="false" ht="15" hidden="false" customHeight="false" outlineLevel="0" collapsed="false">
      <c r="A36" s="40"/>
      <c r="B36" s="40"/>
      <c r="C36" s="40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9" t="str">
        <f aca="false">IF(A36="","",SUM(D36:O36))</f>
        <v/>
      </c>
    </row>
    <row r="37" customFormat="false" ht="15" hidden="false" customHeight="false" outlineLevel="0" collapsed="false">
      <c r="A37" s="40"/>
      <c r="B37" s="40"/>
      <c r="C37" s="40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9" t="str">
        <f aca="false">IF(A37="","",SUM(D37:O37))</f>
        <v/>
      </c>
    </row>
    <row r="38" customFormat="false" ht="15" hidden="false" customHeight="false" outlineLevel="0" collapsed="false">
      <c r="A38" s="40"/>
      <c r="B38" s="40"/>
      <c r="C38" s="40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9" t="str">
        <f aca="false">IF(A38="","",SUM(D38:O38))</f>
        <v/>
      </c>
    </row>
    <row r="39" customFormat="false" ht="15" hidden="false" customHeight="false" outlineLevel="0" collapsed="false">
      <c r="A39" s="40"/>
      <c r="B39" s="40"/>
      <c r="C39" s="40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9" t="str">
        <f aca="false">IF(A39="","",SUM(D39:O39))</f>
        <v/>
      </c>
    </row>
    <row r="40" customFormat="false" ht="15" hidden="false" customHeight="false" outlineLevel="0" collapsed="false">
      <c r="A40" s="40"/>
      <c r="B40" s="40"/>
      <c r="C40" s="40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9" t="str">
        <f aca="false">IF(A40="","",SUM(D40:O40))</f>
        <v/>
      </c>
    </row>
    <row r="41" customFormat="false" ht="15" hidden="false" customHeight="false" outlineLevel="0" collapsed="false">
      <c r="A41" s="40"/>
      <c r="B41" s="40"/>
      <c r="C41" s="40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9" t="str">
        <f aca="false">IF(A41="","",SUM(D41:O41))</f>
        <v/>
      </c>
    </row>
    <row r="42" customFormat="false" ht="15" hidden="false" customHeight="false" outlineLevel="0" collapsed="false">
      <c r="A42" s="40"/>
      <c r="B42" s="40"/>
      <c r="C42" s="40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9" t="str">
        <f aca="false">IF(A42="","",SUM(D42:O42))</f>
        <v/>
      </c>
    </row>
    <row r="43" customFormat="false" ht="15" hidden="false" customHeight="false" outlineLevel="0" collapsed="false">
      <c r="A43" s="40"/>
      <c r="B43" s="40"/>
      <c r="C43" s="40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9" t="str">
        <f aca="false">IF(A43="","",SUM(D43:O43))</f>
        <v/>
      </c>
    </row>
    <row r="44" customFormat="false" ht="15" hidden="false" customHeight="false" outlineLevel="0" collapsed="false">
      <c r="A44" s="40"/>
      <c r="B44" s="40"/>
      <c r="C44" s="40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9" t="str">
        <f aca="false">IF(A44="","",SUM(D44:O44))</f>
        <v/>
      </c>
    </row>
    <row r="45" customFormat="false" ht="15" hidden="false" customHeight="false" outlineLevel="0" collapsed="false">
      <c r="A45" s="40"/>
      <c r="B45" s="40"/>
      <c r="C45" s="40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9" t="str">
        <f aca="false">IF(A45="","",SUM(D45:O45))</f>
        <v/>
      </c>
    </row>
    <row r="46" customFormat="false" ht="15" hidden="false" customHeight="false" outlineLevel="0" collapsed="false">
      <c r="A46" s="40"/>
      <c r="B46" s="40"/>
      <c r="C46" s="40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9" t="str">
        <f aca="false">IF(A46="","",SUM(D46:O46))</f>
        <v/>
      </c>
    </row>
    <row r="47" customFormat="false" ht="15" hidden="false" customHeight="false" outlineLevel="0" collapsed="false">
      <c r="A47" s="40"/>
      <c r="B47" s="40"/>
      <c r="C47" s="40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9" t="str">
        <f aca="false">IF(A47="","",SUM(D47:O47))</f>
        <v/>
      </c>
    </row>
    <row r="48" customFormat="false" ht="15" hidden="false" customHeight="false" outlineLevel="0" collapsed="false">
      <c r="A48" s="40"/>
      <c r="B48" s="40"/>
      <c r="C48" s="40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9" t="str">
        <f aca="false">IF(A48="","",SUM(D48:O48))</f>
        <v/>
      </c>
    </row>
    <row r="49" customFormat="false" ht="15" hidden="false" customHeight="false" outlineLevel="0" collapsed="false">
      <c r="A49" s="40"/>
      <c r="B49" s="40"/>
      <c r="C49" s="40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9" t="str">
        <f aca="false">IF(A49="","",SUM(D49:O49))</f>
        <v/>
      </c>
    </row>
    <row r="50" customFormat="false" ht="15" hidden="false" customHeight="false" outlineLevel="0" collapsed="false">
      <c r="A50" s="40"/>
      <c r="B50" s="40"/>
      <c r="C50" s="40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9" t="str">
        <f aca="false">IF(A50="","",SUM(D50:O50))</f>
        <v/>
      </c>
    </row>
    <row r="51" customFormat="false" ht="15" hidden="false" customHeight="false" outlineLevel="0" collapsed="false">
      <c r="A51" s="40"/>
      <c r="B51" s="40"/>
      <c r="C51" s="40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9" t="str">
        <f aca="false">IF(A51="","",SUM(D51:O51))</f>
        <v/>
      </c>
    </row>
    <row r="52" customFormat="false" ht="15" hidden="false" customHeight="false" outlineLevel="0" collapsed="false">
      <c r="A52" s="40"/>
      <c r="B52" s="40"/>
      <c r="C52" s="40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9" t="str">
        <f aca="false">IF(A52="","",SUM(D52:O52))</f>
        <v/>
      </c>
    </row>
    <row r="53" customFormat="false" ht="15" hidden="false" customHeight="false" outlineLevel="0" collapsed="false">
      <c r="A53" s="40"/>
      <c r="B53" s="40"/>
      <c r="C53" s="40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9" t="str">
        <f aca="false">IF(A53="","",SUM(D53:O53))</f>
        <v/>
      </c>
    </row>
    <row r="54" customFormat="false" ht="15" hidden="false" customHeight="false" outlineLevel="0" collapsed="false">
      <c r="A54" s="40"/>
      <c r="B54" s="40"/>
      <c r="C54" s="40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9" t="str">
        <f aca="false">IF(A54="","",SUM(D54:O54))</f>
        <v/>
      </c>
    </row>
    <row r="55" customFormat="false" ht="15" hidden="false" customHeight="false" outlineLevel="0" collapsed="false">
      <c r="A55" s="40"/>
      <c r="B55" s="40"/>
      <c r="C55" s="40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9" t="str">
        <f aca="false">IF(A55="","",SUM(D55:O55))</f>
        <v/>
      </c>
    </row>
    <row r="56" customFormat="false" ht="15" hidden="false" customHeight="false" outlineLevel="0" collapsed="false">
      <c r="A56" s="40"/>
      <c r="B56" s="40"/>
      <c r="C56" s="40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9" t="str">
        <f aca="false">IF(A56="","",SUM(D56:O56))</f>
        <v/>
      </c>
    </row>
    <row r="57" customFormat="false" ht="15" hidden="false" customHeight="false" outlineLevel="0" collapsed="false">
      <c r="A57" s="40"/>
      <c r="B57" s="40"/>
      <c r="C57" s="40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9" t="str">
        <f aca="false">IF(A57="","",SUM(D57:O57))</f>
        <v/>
      </c>
    </row>
    <row r="58" customFormat="false" ht="15" hidden="false" customHeight="false" outlineLevel="0" collapsed="false">
      <c r="A58" s="40"/>
      <c r="B58" s="40"/>
      <c r="C58" s="40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9" t="str">
        <f aca="false">IF(A58="","",SUM(D58:O58))</f>
        <v/>
      </c>
    </row>
    <row r="59" customFormat="false" ht="15" hidden="false" customHeight="false" outlineLevel="0" collapsed="false">
      <c r="A59" s="40"/>
      <c r="B59" s="40"/>
      <c r="C59" s="40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9" t="str">
        <f aca="false">IF(A59="","",SUM(D59:O59))</f>
        <v/>
      </c>
    </row>
    <row r="60" customFormat="false" ht="15" hidden="false" customHeight="false" outlineLevel="0" collapsed="false">
      <c r="A60" s="40"/>
      <c r="B60" s="40"/>
      <c r="C60" s="40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9" t="str">
        <f aca="false">IF(A60="","",SUM(D60:O60))</f>
        <v/>
      </c>
    </row>
    <row r="61" customFormat="false" ht="15" hidden="false" customHeight="false" outlineLevel="0" collapsed="false">
      <c r="A61" s="40"/>
      <c r="B61" s="40"/>
      <c r="C61" s="40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9" t="str">
        <f aca="false">IF(A61="","",SUM(D61:O61))</f>
        <v/>
      </c>
    </row>
    <row r="62" customFormat="false" ht="15" hidden="false" customHeight="false" outlineLevel="0" collapsed="false">
      <c r="A62" s="40"/>
      <c r="B62" s="40"/>
      <c r="C62" s="40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9" t="str">
        <f aca="false">IF(A62="","",SUM(D62:O62))</f>
        <v/>
      </c>
    </row>
    <row r="63" customFormat="false" ht="15" hidden="false" customHeight="false" outlineLevel="0" collapsed="false">
      <c r="A63" s="40"/>
      <c r="B63" s="40"/>
      <c r="C63" s="40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9" t="str">
        <f aca="false">IF(A63="","",SUM(D63:O63))</f>
        <v/>
      </c>
    </row>
    <row r="64" customFormat="false" ht="15" hidden="false" customHeight="false" outlineLevel="0" collapsed="false">
      <c r="A64" s="40"/>
      <c r="B64" s="40"/>
      <c r="C64" s="40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9" t="str">
        <f aca="false">IF(A64="","",SUM(D64:O64))</f>
        <v/>
      </c>
    </row>
    <row r="65" customFormat="false" ht="15" hidden="false" customHeight="false" outlineLevel="0" collapsed="false">
      <c r="A65" s="40"/>
      <c r="B65" s="40"/>
      <c r="C65" s="40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9" t="str">
        <f aca="false">IF(A65="","",SUM(D65:O65))</f>
        <v/>
      </c>
    </row>
    <row r="66" customFormat="false" ht="15" hidden="false" customHeight="false" outlineLevel="0" collapsed="false">
      <c r="A66" s="40"/>
      <c r="B66" s="40"/>
      <c r="C66" s="40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9" t="str">
        <f aca="false">IF(A66="","",SUM(D66:O66))</f>
        <v/>
      </c>
    </row>
    <row r="67" customFormat="false" ht="15" hidden="false" customHeight="false" outlineLevel="0" collapsed="false">
      <c r="A67" s="40"/>
      <c r="B67" s="40"/>
      <c r="C67" s="40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9" t="str">
        <f aca="false">IF(A67="","",SUM(D67:O67))</f>
        <v/>
      </c>
    </row>
    <row r="68" customFormat="false" ht="15" hidden="false" customHeight="false" outlineLevel="0" collapsed="false">
      <c r="A68" s="40"/>
      <c r="B68" s="40"/>
      <c r="C68" s="40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9" t="str">
        <f aca="false">IF(A68="","",SUM(D68:O68))</f>
        <v/>
      </c>
    </row>
    <row r="69" customFormat="false" ht="15" hidden="false" customHeight="false" outlineLevel="0" collapsed="false">
      <c r="A69" s="40"/>
      <c r="B69" s="40"/>
      <c r="C69" s="40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9" t="str">
        <f aca="false">IF(A69="","",SUM(D69:O69))</f>
        <v/>
      </c>
    </row>
    <row r="70" customFormat="false" ht="15" hidden="false" customHeight="false" outlineLevel="0" collapsed="false">
      <c r="A70" s="40"/>
      <c r="B70" s="40"/>
      <c r="C70" s="40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9" t="str">
        <f aca="false">IF(A70="","",SUM(D70:O70))</f>
        <v/>
      </c>
    </row>
    <row r="71" customFormat="false" ht="15" hidden="false" customHeight="false" outlineLevel="0" collapsed="false">
      <c r="A71" s="40"/>
      <c r="B71" s="40"/>
      <c r="C71" s="40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9" t="str">
        <f aca="false">IF(A71="","",SUM(D71:O71))</f>
        <v/>
      </c>
    </row>
    <row r="72" customFormat="false" ht="15" hidden="false" customHeight="false" outlineLevel="0" collapsed="false">
      <c r="A72" s="40"/>
      <c r="B72" s="40"/>
      <c r="C72" s="40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9" t="str">
        <f aca="false">IF(A72="","",SUM(D72:O72))</f>
        <v/>
      </c>
    </row>
    <row r="73" customFormat="false" ht="15" hidden="false" customHeight="false" outlineLevel="0" collapsed="false">
      <c r="A73" s="40"/>
      <c r="B73" s="40"/>
      <c r="C73" s="40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9" t="str">
        <f aca="false">IF(A73="","",SUM(D73:O73))</f>
        <v/>
      </c>
    </row>
    <row r="74" customFormat="false" ht="15" hidden="false" customHeight="false" outlineLevel="0" collapsed="false">
      <c r="A74" s="40"/>
      <c r="B74" s="40"/>
      <c r="C74" s="40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9" t="str">
        <f aca="false">IF(A74="","",SUM(D74:O74))</f>
        <v/>
      </c>
    </row>
    <row r="75" customFormat="false" ht="15" hidden="false" customHeight="false" outlineLevel="0" collapsed="false">
      <c r="A75" s="40"/>
      <c r="B75" s="40"/>
      <c r="C75" s="40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9" t="str">
        <f aca="false">IF(A75="","",SUM(D75:O75))</f>
        <v/>
      </c>
    </row>
    <row r="76" customFormat="false" ht="15" hidden="false" customHeight="false" outlineLevel="0" collapsed="false">
      <c r="A76" s="40"/>
      <c r="B76" s="40"/>
      <c r="C76" s="40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9" t="str">
        <f aca="false">IF(A76="","",SUM(D76:O76))</f>
        <v/>
      </c>
    </row>
    <row r="77" customFormat="false" ht="15" hidden="false" customHeight="false" outlineLevel="0" collapsed="false">
      <c r="A77" s="40"/>
      <c r="B77" s="40"/>
      <c r="C77" s="40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9" t="str">
        <f aca="false">IF(A77="","",SUM(D77:O77))</f>
        <v/>
      </c>
    </row>
    <row r="78" customFormat="false" ht="15" hidden="false" customHeight="false" outlineLevel="0" collapsed="false">
      <c r="A78" s="40"/>
      <c r="B78" s="40"/>
      <c r="C78" s="40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9" t="str">
        <f aca="false">IF(A78="","",SUM(D78:O78))</f>
        <v/>
      </c>
    </row>
    <row r="79" customFormat="false" ht="15" hidden="false" customHeight="false" outlineLevel="0" collapsed="false">
      <c r="A79" s="40"/>
      <c r="B79" s="40"/>
      <c r="C79" s="40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9" t="str">
        <f aca="false">IF(A79="","",SUM(D79:O79))</f>
        <v/>
      </c>
    </row>
    <row r="80" customFormat="false" ht="15" hidden="false" customHeight="false" outlineLevel="0" collapsed="false">
      <c r="A80" s="40"/>
      <c r="B80" s="40"/>
      <c r="C80" s="40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9" t="str">
        <f aca="false">IF(A80="","",SUM(D80:O80))</f>
        <v/>
      </c>
    </row>
    <row r="81" customFormat="false" ht="15" hidden="false" customHeight="false" outlineLevel="0" collapsed="false">
      <c r="A81" s="40"/>
      <c r="B81" s="40"/>
      <c r="C81" s="40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9" t="str">
        <f aca="false">IF(A81="","",SUM(D81:O81))</f>
        <v/>
      </c>
    </row>
    <row r="82" customFormat="false" ht="15" hidden="false" customHeight="false" outlineLevel="0" collapsed="false">
      <c r="A82" s="40"/>
      <c r="B82" s="40"/>
      <c r="C82" s="40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9" t="str">
        <f aca="false">IF(A82="","",SUM(D82:O82))</f>
        <v/>
      </c>
    </row>
    <row r="83" customFormat="false" ht="15" hidden="false" customHeight="false" outlineLevel="0" collapsed="false">
      <c r="A83" s="40"/>
      <c r="B83" s="40"/>
      <c r="C83" s="40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9" t="str">
        <f aca="false">IF(A83="","",SUM(D83:O83))</f>
        <v/>
      </c>
    </row>
    <row r="84" customFormat="false" ht="15" hidden="false" customHeight="false" outlineLevel="0" collapsed="false">
      <c r="A84" s="40"/>
      <c r="B84" s="40"/>
      <c r="C84" s="40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9" t="str">
        <f aca="false">IF(A84="","",SUM(D84:O84))</f>
        <v/>
      </c>
    </row>
    <row r="85" customFormat="false" ht="15" hidden="false" customHeight="false" outlineLevel="0" collapsed="false">
      <c r="A85" s="40"/>
      <c r="B85" s="40"/>
      <c r="C85" s="40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9" t="str">
        <f aca="false">IF(A85="","",SUM(D85:O85))</f>
        <v/>
      </c>
    </row>
    <row r="86" customFormat="false" ht="15" hidden="false" customHeight="false" outlineLevel="0" collapsed="false">
      <c r="A86" s="40"/>
      <c r="B86" s="40"/>
      <c r="C86" s="40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9" t="str">
        <f aca="false">IF(A86="","",SUM(D86:O86))</f>
        <v/>
      </c>
    </row>
    <row r="87" customFormat="false" ht="15" hidden="false" customHeight="false" outlineLevel="0" collapsed="false">
      <c r="A87" s="40"/>
      <c r="B87" s="40"/>
      <c r="C87" s="40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9" t="str">
        <f aca="false">IF(A87="","",SUM(D87:O87))</f>
        <v/>
      </c>
    </row>
    <row r="88" customFormat="false" ht="15" hidden="false" customHeight="false" outlineLevel="0" collapsed="false">
      <c r="A88" s="40"/>
      <c r="B88" s="40"/>
      <c r="C88" s="40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9" t="str">
        <f aca="false">IF(A88="","",SUM(D88:O88))</f>
        <v/>
      </c>
    </row>
    <row r="89" customFormat="false" ht="15" hidden="false" customHeight="false" outlineLevel="0" collapsed="false">
      <c r="A89" s="40"/>
      <c r="B89" s="40"/>
      <c r="C89" s="40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9" t="str">
        <f aca="false">IF(A89="","",SUM(D89:O89))</f>
        <v/>
      </c>
    </row>
    <row r="90" customFormat="false" ht="15" hidden="false" customHeight="false" outlineLevel="0" collapsed="false">
      <c r="A90" s="40"/>
      <c r="B90" s="40"/>
      <c r="C90" s="40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9" t="str">
        <f aca="false">IF(A90="","",SUM(D90:O90))</f>
        <v/>
      </c>
    </row>
    <row r="91" customFormat="false" ht="15" hidden="false" customHeight="false" outlineLevel="0" collapsed="false">
      <c r="A91" s="40"/>
      <c r="B91" s="40"/>
      <c r="C91" s="40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9" t="str">
        <f aca="false">IF(A91="","",SUM(D91:O91))</f>
        <v/>
      </c>
    </row>
    <row r="92" customFormat="false" ht="15" hidden="false" customHeight="false" outlineLevel="0" collapsed="false">
      <c r="A92" s="40"/>
      <c r="B92" s="40"/>
      <c r="C92" s="40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9" t="str">
        <f aca="false">IF(A92="","",SUM(D92:O92))</f>
        <v/>
      </c>
    </row>
    <row r="93" customFormat="false" ht="15" hidden="false" customHeight="false" outlineLevel="0" collapsed="false">
      <c r="A93" s="40"/>
      <c r="B93" s="40"/>
      <c r="C93" s="40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9" t="str">
        <f aca="false">IF(A93="","",SUM(D93:O93))</f>
        <v/>
      </c>
    </row>
    <row r="94" customFormat="false" ht="15" hidden="false" customHeight="false" outlineLevel="0" collapsed="false">
      <c r="A94" s="40"/>
      <c r="B94" s="40"/>
      <c r="C94" s="40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9" t="str">
        <f aca="false">IF(A94="","",SUM(D94:O94))</f>
        <v/>
      </c>
    </row>
    <row r="95" customFormat="false" ht="15" hidden="false" customHeight="false" outlineLevel="0" collapsed="false">
      <c r="A95" s="40"/>
      <c r="B95" s="40"/>
      <c r="C95" s="40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9" t="str">
        <f aca="false">IF(A95="","",SUM(D95:O95))</f>
        <v/>
      </c>
    </row>
    <row r="96" customFormat="false" ht="15" hidden="false" customHeight="false" outlineLevel="0" collapsed="false">
      <c r="A96" s="40"/>
      <c r="B96" s="40"/>
      <c r="C96" s="40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9" t="str">
        <f aca="false">IF(A96="","",SUM(D96:O96))</f>
        <v/>
      </c>
    </row>
    <row r="97" customFormat="false" ht="15" hidden="false" customHeight="false" outlineLevel="0" collapsed="false">
      <c r="A97" s="40"/>
      <c r="B97" s="40"/>
      <c r="C97" s="40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9" t="str">
        <f aca="false">IF(A97="","",SUM(D97:O97))</f>
        <v/>
      </c>
    </row>
    <row r="98" customFormat="false" ht="15" hidden="false" customHeight="false" outlineLevel="0" collapsed="false">
      <c r="A98" s="40"/>
      <c r="B98" s="40"/>
      <c r="C98" s="40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9" t="str">
        <f aca="false">IF(A98="","",SUM(D98:O98))</f>
        <v/>
      </c>
    </row>
    <row r="99" customFormat="false" ht="15" hidden="false" customHeight="false" outlineLevel="0" collapsed="false">
      <c r="A99" s="40"/>
      <c r="B99" s="40"/>
      <c r="C99" s="40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9" t="str">
        <f aca="false">IF(A99="","",SUM(D99:O99))</f>
        <v/>
      </c>
    </row>
    <row r="100" customFormat="false" ht="15" hidden="false" customHeight="false" outlineLevel="0" collapsed="false">
      <c r="A100" s="40"/>
      <c r="B100" s="40"/>
      <c r="C100" s="40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9" t="str">
        <f aca="false">IF(A100="","",SUM(D100:O100))</f>
        <v/>
      </c>
    </row>
    <row r="101" customFormat="false" ht="15" hidden="false" customHeight="false" outlineLevel="0" collapsed="false">
      <c r="A101" s="40"/>
      <c r="B101" s="40"/>
      <c r="C101" s="40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9" t="str">
        <f aca="false">IF(A101="","",SUM(D101:O101))</f>
        <v/>
      </c>
    </row>
    <row r="102" customFormat="false" ht="15" hidden="false" customHeight="false" outlineLevel="0" collapsed="false">
      <c r="A102" s="40"/>
      <c r="B102" s="40"/>
      <c r="C102" s="40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9" t="str">
        <f aca="false">IF(A102="","",SUM(D102:O102))</f>
        <v/>
      </c>
    </row>
    <row r="103" customFormat="false" ht="15" hidden="false" customHeight="false" outlineLevel="0" collapsed="false">
      <c r="A103" s="40"/>
      <c r="B103" s="40"/>
      <c r="C103" s="40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9" t="str">
        <f aca="false">IF(A103="","",SUM(D103:O103))</f>
        <v/>
      </c>
    </row>
    <row r="104" customFormat="false" ht="15" hidden="false" customHeight="false" outlineLevel="0" collapsed="false">
      <c r="A104" s="40"/>
      <c r="B104" s="40"/>
      <c r="C104" s="40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9" t="str">
        <f aca="false">IF(A104="","",SUM(D104:O104))</f>
        <v/>
      </c>
    </row>
    <row r="105" customFormat="false" ht="15" hidden="false" customHeight="false" outlineLevel="0" collapsed="false">
      <c r="A105" s="40"/>
      <c r="B105" s="40"/>
      <c r="C105" s="40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9" t="str">
        <f aca="false">IF(A105="","",SUM(D105:O105))</f>
        <v/>
      </c>
    </row>
    <row r="106" customFormat="false" ht="15" hidden="false" customHeight="false" outlineLevel="0" collapsed="false">
      <c r="A106" s="40"/>
      <c r="B106" s="40"/>
      <c r="C106" s="40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9" t="str">
        <f aca="false">IF(A106="","",SUM(D106:O106))</f>
        <v/>
      </c>
    </row>
    <row r="107" customFormat="false" ht="15" hidden="false" customHeight="false" outlineLevel="0" collapsed="false">
      <c r="A107" s="40"/>
      <c r="B107" s="40"/>
      <c r="C107" s="40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9" t="str">
        <f aca="false">IF(A107="","",SUM(D107:O107))</f>
        <v/>
      </c>
    </row>
    <row r="108" customFormat="false" ht="15" hidden="false" customHeight="false" outlineLevel="0" collapsed="false">
      <c r="A108" s="40"/>
      <c r="B108" s="40"/>
      <c r="C108" s="40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9" t="str">
        <f aca="false">IF(A108="","",SUM(D108:O108))</f>
        <v/>
      </c>
    </row>
    <row r="109" customFormat="false" ht="15" hidden="false" customHeight="false" outlineLevel="0" collapsed="false">
      <c r="A109" s="40"/>
      <c r="B109" s="40"/>
      <c r="C109" s="40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9" t="str">
        <f aca="false">IF(A109="","",SUM(D109:O109))</f>
        <v/>
      </c>
    </row>
    <row r="110" customFormat="false" ht="15" hidden="false" customHeight="false" outlineLevel="0" collapsed="false">
      <c r="A110" s="40"/>
      <c r="B110" s="40"/>
      <c r="C110" s="40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9" t="str">
        <f aca="false">IF(A110="","",SUM(D110:O110))</f>
        <v/>
      </c>
    </row>
    <row r="111" customFormat="false" ht="15" hidden="false" customHeight="false" outlineLevel="0" collapsed="false">
      <c r="A111" s="40"/>
      <c r="B111" s="40"/>
      <c r="C111" s="40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9" t="str">
        <f aca="false">IF(A111="","",SUM(D111:O111))</f>
        <v/>
      </c>
    </row>
    <row r="112" customFormat="false" ht="15" hidden="false" customHeight="false" outlineLevel="0" collapsed="false">
      <c r="A112" s="40"/>
      <c r="B112" s="40"/>
      <c r="C112" s="40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9" t="str">
        <f aca="false">IF(A112="","",SUM(D112:O112))</f>
        <v/>
      </c>
    </row>
    <row r="113" customFormat="false" ht="15" hidden="false" customHeight="false" outlineLevel="0" collapsed="false">
      <c r="A113" s="40"/>
      <c r="B113" s="40"/>
      <c r="C113" s="40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9" t="str">
        <f aca="false">IF(A113="","",SUM(D113:O113))</f>
        <v/>
      </c>
    </row>
    <row r="114" customFormat="false" ht="15" hidden="false" customHeight="false" outlineLevel="0" collapsed="false">
      <c r="A114" s="40"/>
      <c r="B114" s="40"/>
      <c r="C114" s="40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9" t="str">
        <f aca="false">IF(A114="","",SUM(D114:O114))</f>
        <v/>
      </c>
    </row>
    <row r="115" customFormat="false" ht="15" hidden="false" customHeight="false" outlineLevel="0" collapsed="false">
      <c r="A115" s="40"/>
      <c r="B115" s="40"/>
      <c r="C115" s="40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9" t="str">
        <f aca="false">IF(A115="","",SUM(D115:O115))</f>
        <v/>
      </c>
    </row>
    <row r="116" customFormat="false" ht="15" hidden="false" customHeight="false" outlineLevel="0" collapsed="false">
      <c r="A116" s="40"/>
      <c r="B116" s="40"/>
      <c r="C116" s="40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9" t="str">
        <f aca="false">IF(A116="","",SUM(D116:O116))</f>
        <v/>
      </c>
    </row>
    <row r="117" customFormat="false" ht="15" hidden="false" customHeight="false" outlineLevel="0" collapsed="false">
      <c r="A117" s="40"/>
      <c r="B117" s="40"/>
      <c r="C117" s="40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9" t="str">
        <f aca="false">IF(A117="","",SUM(D117:O117))</f>
        <v/>
      </c>
    </row>
    <row r="118" customFormat="false" ht="15" hidden="false" customHeight="false" outlineLevel="0" collapsed="false">
      <c r="A118" s="40"/>
      <c r="B118" s="40"/>
      <c r="C118" s="40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9" t="str">
        <f aca="false">IF(A118="","",SUM(D118:O118))</f>
        <v/>
      </c>
    </row>
    <row r="119" customFormat="false" ht="15" hidden="false" customHeight="false" outlineLevel="0" collapsed="false">
      <c r="A119" s="40"/>
      <c r="B119" s="40"/>
      <c r="C119" s="40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9" t="str">
        <f aca="false">IF(A119="","",SUM(D119:O119))</f>
        <v/>
      </c>
    </row>
    <row r="120" customFormat="false" ht="15" hidden="false" customHeight="false" outlineLevel="0" collapsed="false">
      <c r="A120" s="40"/>
      <c r="B120" s="40"/>
      <c r="C120" s="40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9" t="str">
        <f aca="false">IF(A120="","",SUM(D120:O120))</f>
        <v/>
      </c>
    </row>
    <row r="121" customFormat="false" ht="15" hidden="false" customHeight="false" outlineLevel="0" collapsed="false">
      <c r="A121" s="40"/>
      <c r="B121" s="40"/>
      <c r="C121" s="40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9" t="str">
        <f aca="false">IF(A121="","",SUM(D121:O121))</f>
        <v/>
      </c>
    </row>
    <row r="122" customFormat="false" ht="15" hidden="false" customHeight="false" outlineLevel="0" collapsed="false">
      <c r="A122" s="40"/>
      <c r="B122" s="40"/>
      <c r="C122" s="40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9" t="str">
        <f aca="false">IF(A122="","",SUM(D122:O122))</f>
        <v/>
      </c>
    </row>
    <row r="123" customFormat="false" ht="15" hidden="false" customHeight="false" outlineLevel="0" collapsed="false">
      <c r="A123" s="40"/>
      <c r="B123" s="40"/>
      <c r="C123" s="40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9" t="str">
        <f aca="false">IF(A123="","",SUM(D123:O123))</f>
        <v/>
      </c>
    </row>
    <row r="124" customFormat="false" ht="15" hidden="false" customHeight="false" outlineLevel="0" collapsed="false">
      <c r="A124" s="40"/>
      <c r="B124" s="40"/>
      <c r="C124" s="40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9" t="str">
        <f aca="false">IF(A124="","",SUM(D124:O124))</f>
        <v/>
      </c>
    </row>
    <row r="125" customFormat="false" ht="15" hidden="false" customHeight="false" outlineLevel="0" collapsed="false">
      <c r="A125" s="40"/>
      <c r="B125" s="40"/>
      <c r="C125" s="40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9" t="str">
        <f aca="false">IF(A125="","",SUM(D125:O125))</f>
        <v/>
      </c>
    </row>
    <row r="126" customFormat="false" ht="15" hidden="false" customHeight="false" outlineLevel="0" collapsed="false">
      <c r="A126" s="40"/>
      <c r="B126" s="40"/>
      <c r="C126" s="40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9" t="str">
        <f aca="false">IF(A126="","",SUM(D126:O126))</f>
        <v/>
      </c>
    </row>
    <row r="127" customFormat="false" ht="15" hidden="false" customHeight="false" outlineLevel="0" collapsed="false">
      <c r="A127" s="40"/>
      <c r="B127" s="40"/>
      <c r="C127" s="40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9" t="str">
        <f aca="false">IF(A127="","",SUM(D127:O127))</f>
        <v/>
      </c>
    </row>
    <row r="128" customFormat="false" ht="15" hidden="false" customHeight="false" outlineLevel="0" collapsed="false">
      <c r="A128" s="40"/>
      <c r="B128" s="40"/>
      <c r="C128" s="40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9" t="str">
        <f aca="false">IF(A128="","",SUM(D128:O128))</f>
        <v/>
      </c>
    </row>
    <row r="129" customFormat="false" ht="15" hidden="false" customHeight="false" outlineLevel="0" collapsed="false">
      <c r="A129" s="40"/>
      <c r="B129" s="40"/>
      <c r="C129" s="40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9" t="str">
        <f aca="false">IF(A129="","",SUM(D129:O129))</f>
        <v/>
      </c>
    </row>
    <row r="130" customFormat="false" ht="15" hidden="false" customHeight="false" outlineLevel="0" collapsed="false">
      <c r="A130" s="40"/>
      <c r="B130" s="40"/>
      <c r="C130" s="40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9" t="str">
        <f aca="false">IF(A130="","",SUM(D130:O130))</f>
        <v/>
      </c>
    </row>
    <row r="131" customFormat="false" ht="15" hidden="false" customHeight="false" outlineLevel="0" collapsed="false">
      <c r="A131" s="40"/>
      <c r="B131" s="40"/>
      <c r="C131" s="40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9" t="str">
        <f aca="false">IF(A131="","",SUM(D131:O131))</f>
        <v/>
      </c>
    </row>
    <row r="132" customFormat="false" ht="15" hidden="false" customHeight="false" outlineLevel="0" collapsed="false">
      <c r="A132" s="40"/>
      <c r="B132" s="40"/>
      <c r="C132" s="40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9" t="str">
        <f aca="false">IF(A132="","",SUM(D132:O132))</f>
        <v/>
      </c>
    </row>
    <row r="133" customFormat="false" ht="15" hidden="false" customHeight="false" outlineLevel="0" collapsed="false">
      <c r="A133" s="40"/>
      <c r="B133" s="40"/>
      <c r="C133" s="40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9" t="str">
        <f aca="false">IF(A133="","",SUM(D133:O133))</f>
        <v/>
      </c>
    </row>
    <row r="134" customFormat="false" ht="15" hidden="false" customHeight="false" outlineLevel="0" collapsed="false">
      <c r="A134" s="40"/>
      <c r="B134" s="40"/>
      <c r="C134" s="40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9" t="str">
        <f aca="false">IF(A134="","",SUM(D134:O134))</f>
        <v/>
      </c>
    </row>
    <row r="135" customFormat="false" ht="15" hidden="false" customHeight="false" outlineLevel="0" collapsed="false">
      <c r="A135" s="40"/>
      <c r="B135" s="40"/>
      <c r="C135" s="40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9" t="str">
        <f aca="false">IF(A135="","",SUM(D135:O135))</f>
        <v/>
      </c>
    </row>
    <row r="136" customFormat="false" ht="15" hidden="false" customHeight="false" outlineLevel="0" collapsed="false">
      <c r="A136" s="40"/>
      <c r="B136" s="40"/>
      <c r="C136" s="40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9" t="str">
        <f aca="false">IF(A136="","",SUM(D136:O136))</f>
        <v/>
      </c>
    </row>
    <row r="137" customFormat="false" ht="15" hidden="false" customHeight="false" outlineLevel="0" collapsed="false">
      <c r="A137" s="40"/>
      <c r="B137" s="40"/>
      <c r="C137" s="40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9" t="str">
        <f aca="false">IF(A137="","",SUM(D137:O137))</f>
        <v/>
      </c>
    </row>
    <row r="138" customFormat="false" ht="15" hidden="false" customHeight="false" outlineLevel="0" collapsed="false">
      <c r="A138" s="40"/>
      <c r="B138" s="40"/>
      <c r="C138" s="40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9" t="str">
        <f aca="false">IF(A138="","",SUM(D138:O138))</f>
        <v/>
      </c>
    </row>
    <row r="139" customFormat="false" ht="15" hidden="false" customHeight="false" outlineLevel="0" collapsed="false">
      <c r="A139" s="40"/>
      <c r="B139" s="40"/>
      <c r="C139" s="40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9" t="str">
        <f aca="false">IF(A139="","",SUM(D139:O139))</f>
        <v/>
      </c>
    </row>
    <row r="140" customFormat="false" ht="15" hidden="false" customHeight="false" outlineLevel="0" collapsed="false">
      <c r="A140" s="40"/>
      <c r="B140" s="40"/>
      <c r="C140" s="40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9" t="str">
        <f aca="false">IF(A140="","",SUM(D140:O140))</f>
        <v/>
      </c>
    </row>
    <row r="141" customFormat="false" ht="15" hidden="false" customHeight="false" outlineLevel="0" collapsed="false">
      <c r="A141" s="40"/>
      <c r="B141" s="40"/>
      <c r="C141" s="40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9" t="str">
        <f aca="false">IF(A141="","",SUM(D141:O141))</f>
        <v/>
      </c>
    </row>
    <row r="142" customFormat="false" ht="15" hidden="false" customHeight="false" outlineLevel="0" collapsed="false">
      <c r="A142" s="40"/>
      <c r="B142" s="40"/>
      <c r="C142" s="40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9" t="str">
        <f aca="false">IF(A142="","",SUM(D142:O142))</f>
        <v/>
      </c>
    </row>
    <row r="143" customFormat="false" ht="15" hidden="false" customHeight="false" outlineLevel="0" collapsed="false">
      <c r="A143" s="40"/>
      <c r="B143" s="40"/>
      <c r="C143" s="40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9" t="str">
        <f aca="false">IF(A143="","",SUM(D143:O143))</f>
        <v/>
      </c>
    </row>
    <row r="144" customFormat="false" ht="15" hidden="false" customHeight="false" outlineLevel="0" collapsed="false">
      <c r="A144" s="40"/>
      <c r="B144" s="40"/>
      <c r="C144" s="40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9" t="str">
        <f aca="false">IF(A144="","",SUM(D144:O144))</f>
        <v/>
      </c>
    </row>
    <row r="145" customFormat="false" ht="15" hidden="false" customHeight="false" outlineLevel="0" collapsed="false">
      <c r="A145" s="40"/>
      <c r="B145" s="40"/>
      <c r="C145" s="40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9" t="str">
        <f aca="false">IF(A145="","",SUM(D145:O145))</f>
        <v/>
      </c>
    </row>
    <row r="146" customFormat="false" ht="15" hidden="false" customHeight="false" outlineLevel="0" collapsed="false">
      <c r="A146" s="40"/>
      <c r="B146" s="40"/>
      <c r="C146" s="40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9" t="str">
        <f aca="false">IF(A146="","",SUM(D146:O146))</f>
        <v/>
      </c>
    </row>
    <row r="147" customFormat="false" ht="15" hidden="false" customHeight="false" outlineLevel="0" collapsed="false">
      <c r="A147" s="40"/>
      <c r="B147" s="40"/>
      <c r="C147" s="40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9" t="str">
        <f aca="false">IF(A147="","",SUM(D147:O147))</f>
        <v/>
      </c>
    </row>
    <row r="148" customFormat="false" ht="15" hidden="false" customHeight="false" outlineLevel="0" collapsed="false">
      <c r="A148" s="40"/>
      <c r="B148" s="40"/>
      <c r="C148" s="40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9" t="str">
        <f aca="false">IF(A148="","",SUM(D148:O148))</f>
        <v/>
      </c>
    </row>
    <row r="149" customFormat="false" ht="15" hidden="false" customHeight="false" outlineLevel="0" collapsed="false">
      <c r="A149" s="40"/>
      <c r="B149" s="40"/>
      <c r="C149" s="40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9" t="str">
        <f aca="false">IF(A149="","",SUM(D149:O149))</f>
        <v/>
      </c>
    </row>
    <row r="150" customFormat="false" ht="15" hidden="false" customHeight="false" outlineLevel="0" collapsed="false">
      <c r="A150" s="40"/>
      <c r="B150" s="40"/>
      <c r="C150" s="40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9" t="str">
        <f aca="false">IF(A150="","",SUM(D150:O150))</f>
        <v/>
      </c>
    </row>
    <row r="151" customFormat="false" ht="15" hidden="false" customHeight="false" outlineLevel="0" collapsed="false">
      <c r="A151" s="40"/>
      <c r="B151" s="40"/>
      <c r="C151" s="40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9" t="str">
        <f aca="false">IF(A151="","",SUM(D151:O151))</f>
        <v/>
      </c>
    </row>
    <row r="152" customFormat="false" ht="15" hidden="false" customHeight="false" outlineLevel="0" collapsed="false">
      <c r="A152" s="40"/>
      <c r="B152" s="40"/>
      <c r="C152" s="40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9" t="str">
        <f aca="false">IF(A152="","",SUM(D152:O152))</f>
        <v/>
      </c>
    </row>
    <row r="153" customFormat="false" ht="15" hidden="false" customHeight="false" outlineLevel="0" collapsed="false">
      <c r="A153" s="40"/>
      <c r="B153" s="40"/>
      <c r="C153" s="40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9" t="str">
        <f aca="false">IF(A153="","",SUM(D153:O153))</f>
        <v/>
      </c>
    </row>
    <row r="154" customFormat="false" ht="15" hidden="false" customHeight="false" outlineLevel="0" collapsed="false">
      <c r="A154" s="40"/>
      <c r="B154" s="40"/>
      <c r="C154" s="40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9" t="str">
        <f aca="false">IF(A154="","",SUM(D154:O154))</f>
        <v/>
      </c>
    </row>
    <row r="155" customFormat="false" ht="15" hidden="false" customHeight="false" outlineLevel="0" collapsed="false">
      <c r="A155" s="40"/>
      <c r="B155" s="40"/>
      <c r="C155" s="40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9" t="str">
        <f aca="false">IF(A155="","",SUM(D155:O155))</f>
        <v/>
      </c>
    </row>
    <row r="156" customFormat="false" ht="15" hidden="false" customHeight="false" outlineLevel="0" collapsed="false">
      <c r="A156" s="40"/>
      <c r="B156" s="40"/>
      <c r="C156" s="40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9" t="str">
        <f aca="false">IF(A156="","",SUM(D156:O156))</f>
        <v/>
      </c>
    </row>
    <row r="157" customFormat="false" ht="15" hidden="false" customHeight="false" outlineLevel="0" collapsed="false">
      <c r="A157" s="40"/>
      <c r="B157" s="40"/>
      <c r="C157" s="40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9" t="str">
        <f aca="false">IF(A157="","",SUM(D157:O157))</f>
        <v/>
      </c>
    </row>
    <row r="158" customFormat="false" ht="15" hidden="false" customHeight="false" outlineLevel="0" collapsed="false">
      <c r="A158" s="40"/>
      <c r="B158" s="40"/>
      <c r="C158" s="40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9" t="str">
        <f aca="false">IF(A158="","",SUM(D158:O158))</f>
        <v/>
      </c>
    </row>
    <row r="159" customFormat="false" ht="15" hidden="false" customHeight="false" outlineLevel="0" collapsed="false">
      <c r="A159" s="40"/>
      <c r="B159" s="40"/>
      <c r="C159" s="40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9" t="str">
        <f aca="false">IF(A159="","",SUM(D159:O159))</f>
        <v/>
      </c>
    </row>
    <row r="160" customFormat="false" ht="15" hidden="false" customHeight="false" outlineLevel="0" collapsed="false">
      <c r="A160" s="40"/>
      <c r="B160" s="40"/>
      <c r="C160" s="40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9" t="str">
        <f aca="false">IF(A160="","",SUM(D160:O160))</f>
        <v/>
      </c>
    </row>
    <row r="161" customFormat="false" ht="15" hidden="false" customHeight="false" outlineLevel="0" collapsed="false">
      <c r="A161" s="40"/>
      <c r="B161" s="40"/>
      <c r="C161" s="40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9" t="str">
        <f aca="false">IF(A161="","",SUM(D161:O161))</f>
        <v/>
      </c>
    </row>
    <row r="162" customFormat="false" ht="15" hidden="false" customHeight="false" outlineLevel="0" collapsed="false">
      <c r="A162" s="40"/>
      <c r="B162" s="40"/>
      <c r="C162" s="40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9" t="str">
        <f aca="false">IF(A162="","",SUM(D162:O162))</f>
        <v/>
      </c>
    </row>
    <row r="163" customFormat="false" ht="15" hidden="false" customHeight="false" outlineLevel="0" collapsed="false">
      <c r="A163" s="40"/>
      <c r="B163" s="40"/>
      <c r="C163" s="40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9" t="str">
        <f aca="false">IF(A163="","",SUM(D163:O163))</f>
        <v/>
      </c>
    </row>
    <row r="164" customFormat="false" ht="15" hidden="false" customHeight="false" outlineLevel="0" collapsed="false">
      <c r="A164" s="40"/>
      <c r="B164" s="40"/>
      <c r="C164" s="40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9" t="str">
        <f aca="false">IF(A164="","",SUM(D164:O164))</f>
        <v/>
      </c>
    </row>
    <row r="165" customFormat="false" ht="15" hidden="false" customHeight="false" outlineLevel="0" collapsed="false">
      <c r="A165" s="40"/>
      <c r="B165" s="40"/>
      <c r="C165" s="40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9" t="str">
        <f aca="false">IF(A165="","",SUM(D165:O165))</f>
        <v/>
      </c>
    </row>
    <row r="166" customFormat="false" ht="15" hidden="false" customHeight="false" outlineLevel="0" collapsed="false">
      <c r="A166" s="40"/>
      <c r="B166" s="40"/>
      <c r="C166" s="40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9" t="str">
        <f aca="false">IF(A166="","",SUM(D166:O166))</f>
        <v/>
      </c>
    </row>
    <row r="167" customFormat="false" ht="15" hidden="false" customHeight="false" outlineLevel="0" collapsed="false">
      <c r="A167" s="40"/>
      <c r="B167" s="40"/>
      <c r="C167" s="40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9" t="str">
        <f aca="false">IF(A167="","",SUM(D167:O167))</f>
        <v/>
      </c>
    </row>
    <row r="168" customFormat="false" ht="15" hidden="false" customHeight="false" outlineLevel="0" collapsed="false">
      <c r="A168" s="40"/>
      <c r="B168" s="40"/>
      <c r="C168" s="40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9" t="str">
        <f aca="false">IF(A168="","",SUM(D168:O168))</f>
        <v/>
      </c>
    </row>
    <row r="169" customFormat="false" ht="15" hidden="false" customHeight="false" outlineLevel="0" collapsed="false">
      <c r="A169" s="40"/>
      <c r="B169" s="40"/>
      <c r="C169" s="40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9" t="str">
        <f aca="false">IF(A169="","",SUM(D169:O169))</f>
        <v/>
      </c>
    </row>
    <row r="170" customFormat="false" ht="15" hidden="false" customHeight="false" outlineLevel="0" collapsed="false">
      <c r="A170" s="40"/>
      <c r="B170" s="40"/>
      <c r="C170" s="40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9" t="str">
        <f aca="false">IF(A170="","",SUM(D170:O170))</f>
        <v/>
      </c>
    </row>
    <row r="171" customFormat="false" ht="15" hidden="false" customHeight="false" outlineLevel="0" collapsed="false">
      <c r="A171" s="40"/>
      <c r="B171" s="40"/>
      <c r="C171" s="40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9" t="str">
        <f aca="false">IF(A171="","",SUM(D171:O171))</f>
        <v/>
      </c>
    </row>
    <row r="172" customFormat="false" ht="15" hidden="false" customHeight="false" outlineLevel="0" collapsed="false">
      <c r="A172" s="40"/>
      <c r="B172" s="40"/>
      <c r="C172" s="40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9" t="str">
        <f aca="false">IF(A172="","",SUM(D172:O172))</f>
        <v/>
      </c>
    </row>
    <row r="173" customFormat="false" ht="15" hidden="false" customHeight="false" outlineLevel="0" collapsed="false">
      <c r="A173" s="40"/>
      <c r="B173" s="40"/>
      <c r="C173" s="40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9" t="str">
        <f aca="false">IF(A173="","",SUM(D173:O173))</f>
        <v/>
      </c>
    </row>
    <row r="174" customFormat="false" ht="15" hidden="false" customHeight="false" outlineLevel="0" collapsed="false">
      <c r="A174" s="40"/>
      <c r="B174" s="40"/>
      <c r="C174" s="40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9" t="str">
        <f aca="false">IF(A174="","",SUM(D174:O174))</f>
        <v/>
      </c>
    </row>
    <row r="175" customFormat="false" ht="15" hidden="false" customHeight="false" outlineLevel="0" collapsed="false">
      <c r="A175" s="40"/>
      <c r="B175" s="40"/>
      <c r="C175" s="40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9" t="str">
        <f aca="false">IF(A175="","",SUM(D175:O175))</f>
        <v/>
      </c>
    </row>
    <row r="176" customFormat="false" ht="15" hidden="false" customHeight="false" outlineLevel="0" collapsed="false">
      <c r="A176" s="40"/>
      <c r="B176" s="40"/>
      <c r="C176" s="40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9" t="str">
        <f aca="false">IF(A176="","",SUM(D176:O176))</f>
        <v/>
      </c>
    </row>
    <row r="177" customFormat="false" ht="15" hidden="false" customHeight="false" outlineLevel="0" collapsed="false">
      <c r="A177" s="40"/>
      <c r="B177" s="40"/>
      <c r="C177" s="40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9" t="str">
        <f aca="false">IF(A177="","",SUM(D177:O177))</f>
        <v/>
      </c>
    </row>
    <row r="178" customFormat="false" ht="15" hidden="false" customHeight="false" outlineLevel="0" collapsed="false">
      <c r="A178" s="40"/>
      <c r="B178" s="40"/>
      <c r="C178" s="40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9" t="str">
        <f aca="false">IF(A178="","",SUM(D178:O178))</f>
        <v/>
      </c>
    </row>
    <row r="179" customFormat="false" ht="15" hidden="false" customHeight="false" outlineLevel="0" collapsed="false">
      <c r="A179" s="40"/>
      <c r="B179" s="40"/>
      <c r="C179" s="40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9" t="str">
        <f aca="false">IF(A179="","",SUM(D179:O179))</f>
        <v/>
      </c>
    </row>
    <row r="180" customFormat="false" ht="15" hidden="false" customHeight="false" outlineLevel="0" collapsed="false">
      <c r="A180" s="40"/>
      <c r="B180" s="40"/>
      <c r="C180" s="40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9" t="str">
        <f aca="false">IF(A180="","",SUM(D180:O180))</f>
        <v/>
      </c>
    </row>
    <row r="181" customFormat="false" ht="15" hidden="false" customHeight="false" outlineLevel="0" collapsed="false">
      <c r="A181" s="40"/>
      <c r="B181" s="40"/>
      <c r="C181" s="40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9" t="str">
        <f aca="false">IF(A181="","",SUM(D181:O181))</f>
        <v/>
      </c>
    </row>
    <row r="182" customFormat="false" ht="15" hidden="false" customHeight="false" outlineLevel="0" collapsed="false">
      <c r="A182" s="40"/>
      <c r="B182" s="40"/>
      <c r="C182" s="40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9" t="str">
        <f aca="false">IF(A182="","",SUM(D182:O182))</f>
        <v/>
      </c>
    </row>
    <row r="183" customFormat="false" ht="15" hidden="false" customHeight="false" outlineLevel="0" collapsed="false">
      <c r="A183" s="40"/>
      <c r="B183" s="40"/>
      <c r="C183" s="40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9" t="str">
        <f aca="false">IF(A183="","",SUM(D183:O183))</f>
        <v/>
      </c>
    </row>
    <row r="184" customFormat="false" ht="15" hidden="false" customHeight="false" outlineLevel="0" collapsed="false">
      <c r="A184" s="40"/>
      <c r="B184" s="40"/>
      <c r="C184" s="40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9" t="str">
        <f aca="false">IF(A184="","",SUM(D184:O184))</f>
        <v/>
      </c>
    </row>
    <row r="185" customFormat="false" ht="15" hidden="false" customHeight="false" outlineLevel="0" collapsed="false">
      <c r="A185" s="40"/>
      <c r="B185" s="40"/>
      <c r="C185" s="40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9" t="str">
        <f aca="false">IF(A185="","",SUM(D185:O185))</f>
        <v/>
      </c>
    </row>
    <row r="186" customFormat="false" ht="15" hidden="false" customHeight="false" outlineLevel="0" collapsed="false">
      <c r="A186" s="40"/>
      <c r="B186" s="40"/>
      <c r="C186" s="40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9" t="str">
        <f aca="false">IF(A186="","",SUM(D186:O186))</f>
        <v/>
      </c>
    </row>
    <row r="187" customFormat="false" ht="15" hidden="false" customHeight="false" outlineLevel="0" collapsed="false">
      <c r="A187" s="40"/>
      <c r="B187" s="40"/>
      <c r="C187" s="40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9" t="str">
        <f aca="false">IF(A187="","",SUM(D187:O187))</f>
        <v/>
      </c>
    </row>
    <row r="188" customFormat="false" ht="15" hidden="false" customHeight="false" outlineLevel="0" collapsed="false">
      <c r="A188" s="40"/>
      <c r="B188" s="40"/>
      <c r="C188" s="40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9" t="str">
        <f aca="false">IF(A188="","",SUM(D188:O188))</f>
        <v/>
      </c>
    </row>
    <row r="189" customFormat="false" ht="15" hidden="false" customHeight="false" outlineLevel="0" collapsed="false">
      <c r="A189" s="40"/>
      <c r="B189" s="40"/>
      <c r="C189" s="40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9" t="str">
        <f aca="false">IF(A189="","",SUM(D189:O189))</f>
        <v/>
      </c>
    </row>
    <row r="190" customFormat="false" ht="15" hidden="false" customHeight="false" outlineLevel="0" collapsed="false">
      <c r="A190" s="40"/>
      <c r="B190" s="40"/>
      <c r="C190" s="40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9" t="str">
        <f aca="false">IF(A190="","",SUM(D190:O190))</f>
        <v/>
      </c>
    </row>
    <row r="191" customFormat="false" ht="15" hidden="false" customHeight="false" outlineLevel="0" collapsed="false">
      <c r="A191" s="40"/>
      <c r="B191" s="40"/>
      <c r="C191" s="40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9" t="str">
        <f aca="false">IF(A191="","",SUM(D191:O191))</f>
        <v/>
      </c>
    </row>
    <row r="192" customFormat="false" ht="15" hidden="false" customHeight="false" outlineLevel="0" collapsed="false">
      <c r="A192" s="40"/>
      <c r="B192" s="40"/>
      <c r="C192" s="40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9" t="str">
        <f aca="false">IF(A192="","",SUM(D192:O192))</f>
        <v/>
      </c>
    </row>
    <row r="193" customFormat="false" ht="15" hidden="false" customHeight="false" outlineLevel="0" collapsed="false">
      <c r="A193" s="40"/>
      <c r="B193" s="40"/>
      <c r="C193" s="40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9" t="str">
        <f aca="false">IF(A193="","",SUM(D193:O193))</f>
        <v/>
      </c>
    </row>
    <row r="194" customFormat="false" ht="15" hidden="false" customHeight="false" outlineLevel="0" collapsed="false">
      <c r="A194" s="40"/>
      <c r="B194" s="40"/>
      <c r="C194" s="40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9" t="str">
        <f aca="false">IF(A194="","",SUM(D194:O194))</f>
        <v/>
      </c>
    </row>
    <row r="195" customFormat="false" ht="15" hidden="false" customHeight="false" outlineLevel="0" collapsed="false">
      <c r="A195" s="40"/>
      <c r="B195" s="40"/>
      <c r="C195" s="40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9" t="str">
        <f aca="false">IF(A195="","",SUM(D195:O195))</f>
        <v/>
      </c>
    </row>
    <row r="196" customFormat="false" ht="15" hidden="false" customHeight="false" outlineLevel="0" collapsed="false">
      <c r="A196" s="40"/>
      <c r="B196" s="40"/>
      <c r="C196" s="40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9" t="str">
        <f aca="false">IF(A196="","",SUM(D196:O196))</f>
        <v/>
      </c>
    </row>
    <row r="197" customFormat="false" ht="15" hidden="false" customHeight="false" outlineLevel="0" collapsed="false">
      <c r="A197" s="40"/>
      <c r="B197" s="40"/>
      <c r="C197" s="40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9" t="str">
        <f aca="false">IF(A197="","",SUM(D197:O197))</f>
        <v/>
      </c>
    </row>
    <row r="198" customFormat="false" ht="15" hidden="false" customHeight="false" outlineLevel="0" collapsed="false">
      <c r="A198" s="40"/>
      <c r="B198" s="40"/>
      <c r="C198" s="40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9" t="str">
        <f aca="false">IF(A198="","",SUM(D198:O198))</f>
        <v/>
      </c>
    </row>
    <row r="199" customFormat="false" ht="15" hidden="false" customHeight="false" outlineLevel="0" collapsed="false">
      <c r="A199" s="40"/>
      <c r="B199" s="40"/>
      <c r="C199" s="40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9" t="str">
        <f aca="false">IF(A199="","",SUM(D199:O199))</f>
        <v/>
      </c>
    </row>
    <row r="200" customFormat="false" ht="15" hidden="false" customHeight="false" outlineLevel="0" collapsed="false">
      <c r="A200" s="40"/>
      <c r="B200" s="40"/>
      <c r="C200" s="40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9" t="str">
        <f aca="false">IF(A200="","",SUM(D200:O200))</f>
        <v/>
      </c>
    </row>
    <row r="201" customFormat="false" ht="15" hidden="false" customHeight="false" outlineLevel="0" collapsed="false">
      <c r="A201" s="40"/>
      <c r="B201" s="40"/>
      <c r="C201" s="40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9" t="str">
        <f aca="false">IF(A201="","",SUM(D201:O201))</f>
        <v/>
      </c>
    </row>
    <row r="202" customFormat="false" ht="15" hidden="false" customHeight="false" outlineLevel="0" collapsed="false">
      <c r="A202" s="40"/>
      <c r="B202" s="40"/>
      <c r="C202" s="40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9" t="str">
        <f aca="false">IF(A202="","",SUM(D202:O202))</f>
        <v/>
      </c>
    </row>
    <row r="203" customFormat="false" ht="15" hidden="false" customHeight="false" outlineLevel="0" collapsed="false">
      <c r="A203" s="40"/>
      <c r="B203" s="40"/>
      <c r="C203" s="40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9" t="str">
        <f aca="false">IF(A203="","",SUM(D203:O203))</f>
        <v/>
      </c>
    </row>
    <row r="204" customFormat="false" ht="15" hidden="false" customHeight="false" outlineLevel="0" collapsed="false">
      <c r="A204" s="40"/>
      <c r="B204" s="40"/>
      <c r="C204" s="40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9" t="str">
        <f aca="false">IF(A204="","",SUM(D204:O204))</f>
        <v/>
      </c>
    </row>
  </sheetData>
  <dataValidations count="1">
    <dataValidation allowBlank="true" errorStyle="stop" operator="between" showDropDown="false" showErrorMessage="false" showInputMessage="false" sqref="C5:C204" type="list">
      <formula1>"매출,비용"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11" min="9" style="0" width="10"/>
    <col collapsed="false" customWidth="true" hidden="false" outlineLevel="0" max="13" min="12" style="0" width="8"/>
    <col collapsed="false" customWidth="true" hidden="false" outlineLevel="0" max="14" min="14" style="0" width="6"/>
    <col collapsed="false" customWidth="true" hidden="false" outlineLevel="0" max="15" min="15" style="0" width="34"/>
    <col collapsed="false" customWidth="true" hidden="false" outlineLevel="0" max="16" min="16" style="0" width="70"/>
    <col collapsed="false" customWidth="true" hidden="false" outlineLevel="0" max="17" min="17" style="0" width="9"/>
  </cols>
  <sheetData>
    <row r="1" customFormat="false" ht="19.4" hidden="false" customHeight="false" outlineLevel="0" collapsed="false">
      <c r="A1" s="1" t="str">
        <f aca="false">"BvA 분석 — "&amp;설정!$B$3&amp;"년 "&amp;설정!$B$4&amp;"월  (단위: "&amp;설정!$B$7&amp;")"</f>
        <v>BvA 분석 — 2026년 9월  (단위: 백만원)</v>
      </c>
    </row>
    <row r="2" customFormat="false" ht="15" hidden="false" customHeight="false" outlineLevel="0" collapsed="false">
      <c r="A2" s="32" t="s">
        <v>92</v>
      </c>
    </row>
    <row r="3" customFormat="false" ht="15" hidden="false" customHeight="true" outlineLevel="0" collapsed="false">
      <c r="A3" s="42" t="s">
        <v>93</v>
      </c>
      <c r="B3" s="42"/>
      <c r="C3" s="42"/>
      <c r="D3" s="42" t="s">
        <v>94</v>
      </c>
      <c r="E3" s="42"/>
      <c r="F3" s="42"/>
      <c r="G3" s="42"/>
      <c r="H3" s="42"/>
      <c r="I3" s="42" t="s">
        <v>95</v>
      </c>
      <c r="J3" s="42"/>
      <c r="K3" s="42"/>
      <c r="L3" s="42"/>
      <c r="M3" s="42"/>
      <c r="N3" s="42" t="s">
        <v>96</v>
      </c>
      <c r="O3" s="42"/>
      <c r="P3" s="42"/>
    </row>
    <row r="4" customFormat="false" ht="30" hidden="false" customHeight="true" outlineLevel="0" collapsed="false">
      <c r="A4" s="5" t="s">
        <v>60</v>
      </c>
      <c r="B4" s="5" t="s">
        <v>37</v>
      </c>
      <c r="C4" s="5" t="s">
        <v>21</v>
      </c>
      <c r="D4" s="5" t="s">
        <v>38</v>
      </c>
      <c r="E4" s="5" t="s">
        <v>39</v>
      </c>
      <c r="F4" s="5" t="s">
        <v>97</v>
      </c>
      <c r="G4" s="5" t="s">
        <v>25</v>
      </c>
      <c r="H4" s="5" t="s">
        <v>26</v>
      </c>
      <c r="I4" s="5" t="s">
        <v>38</v>
      </c>
      <c r="J4" s="5" t="s">
        <v>39</v>
      </c>
      <c r="K4" s="5" t="s">
        <v>24</v>
      </c>
      <c r="L4" s="5" t="s">
        <v>25</v>
      </c>
      <c r="M4" s="5" t="s">
        <v>26</v>
      </c>
      <c r="N4" s="5" t="s">
        <v>98</v>
      </c>
      <c r="O4" s="5" t="s">
        <v>99</v>
      </c>
      <c r="P4" s="5" t="s">
        <v>40</v>
      </c>
      <c r="Q4" s="5" t="s">
        <v>100</v>
      </c>
    </row>
    <row r="5" customFormat="false" ht="15" hidden="false" customHeight="false" outlineLevel="0" collapsed="false">
      <c r="A5" s="43" t="n">
        <f aca="false">IF(예산!A5="","",예산!A5)</f>
        <v>4010</v>
      </c>
      <c r="B5" s="43" t="str">
        <f aca="false">IF(예산!B5="","",예산!B5)</f>
        <v>제품매출</v>
      </c>
      <c r="C5" s="43" t="str">
        <f aca="false">IF(예산!C5="","",예산!C5)</f>
        <v>매출</v>
      </c>
      <c r="D5" s="9" t="n">
        <f aca="false">IF($A5="","",SUMIFS(INDEX(예산!$D$5:$O$204,0,설정!$B$4),예산!$A$5:$A$204,$A5))</f>
        <v>1236</v>
      </c>
      <c r="E5" s="9" t="n">
        <f aca="false">IF($A5="","",SUMIFS(INDEX(실적!$D$5:$O$204,0,설정!$B$4),실적!$A$5:$A$204,$A5))</f>
        <v>1051</v>
      </c>
      <c r="F5" s="9" t="n">
        <f aca="false">IF($A5="","",E5-D5)</f>
        <v>-185</v>
      </c>
      <c r="G5" s="10" t="n">
        <f aca="false">IF($A5="","",IF(D5=0,"n/a",F5/ABS(D5)))</f>
        <v>-0.149676375404531</v>
      </c>
      <c r="H5" s="11" t="str">
        <f aca="false">IF($A5="","",IF(F5=0,"-",IF((C5="매출")=(F5&gt;0),"유리","불리")))</f>
        <v>불리</v>
      </c>
      <c r="I5" s="9" t="n">
        <f aca="false">IF($A5="","",SUMPRODUCT((예산!$A$5:$A$204=$A5)*(COLUMN(예산!$D$4:$O$4)-COLUMN(예산!$D$4)+1&lt;=설정!$B$4)*예산!$D$5:$O$204))</f>
        <v>10644</v>
      </c>
      <c r="J5" s="9" t="n">
        <f aca="false">IF($A5="","",SUMPRODUCT((실적!$A$5:$A$204=$A5)*(COLUMN(실적!$D$4:$O$4)-COLUMN(실적!$D$4)+1&lt;=설정!$B$4)*실적!$D$5:$O$204))</f>
        <v>10275</v>
      </c>
      <c r="K5" s="9" t="n">
        <f aca="false">IF($A5="","",J5-I5)</f>
        <v>-369</v>
      </c>
      <c r="L5" s="10" t="n">
        <f aca="false">IF($A5="","",IF(I5=0,"n/a",K5/ABS(I5)))</f>
        <v>-0.0346674182638106</v>
      </c>
      <c r="M5" s="11" t="str">
        <f aca="false">IF($A5="","",IF(K5=0,"-",IF((C5="매출")=(K5&gt;0),"유리","불리")))</f>
        <v>불리</v>
      </c>
      <c r="N5" s="18" t="str">
        <f aca="false">IF($A5="","",IF(AND(ABS(F5)&gt;=설정!$B$5,OR(D5=0,ABS(IF(D5=0,0,F5/D5))&gt;=설정!$B$6)),"●",""))</f>
        <v>●</v>
      </c>
      <c r="O5" s="31"/>
      <c r="P5" s="44" t="str">
        <f aca="false">IF($A5="","",IF(N5="","",B5&amp;": 당월 실적 "&amp;TEXT(E5,"#,##0")&amp;설정!$B$7&amp;"으로 예산 대비 "&amp;TEXT(ABS(F5),"#,##0")&amp;설정!$B$7&amp;"("&amp;IF(D5=0,"예산 없음",TEXT(ABS(G5),"0.0%"))&amp;") "&amp;IF(C5="매출",IF(F5&gt;0,"상회","하회"),IF(F5&gt;0,"초과","절감"))&amp;" ["&amp;H5&amp;"]. 원인: "&amp;IF(O5="","___",O5)))</f>
        <v>제품매출: 당월 실적 1,051백만원으로 예산 대비 185백만원(15.0%) 하회 [불리]. 원인: ___</v>
      </c>
      <c r="Q5" s="45" t="n">
        <f aca="false">IF($A5="","",IF(N5="●",ABS(F5)+ROW()/1000000,0))</f>
        <v>185.000005</v>
      </c>
    </row>
    <row r="6" customFormat="false" ht="15" hidden="false" customHeight="false" outlineLevel="0" collapsed="false">
      <c r="A6" s="43" t="n">
        <f aca="false">IF(예산!A6="","",예산!A6)</f>
        <v>4020</v>
      </c>
      <c r="B6" s="43" t="str">
        <f aca="false">IF(예산!B6="","",예산!B6)</f>
        <v>상품매출</v>
      </c>
      <c r="C6" s="43" t="str">
        <f aca="false">IF(예산!C6="","",예산!C6)</f>
        <v>매출</v>
      </c>
      <c r="D6" s="9" t="n">
        <f aca="false">IF($A6="","",SUMIFS(INDEX(예산!$D$5:$O$204,0,설정!$B$4),예산!$A$5:$A$204,$A6))</f>
        <v>309</v>
      </c>
      <c r="E6" s="9" t="n">
        <f aca="false">IF($A6="","",SUMIFS(INDEX(실적!$D$5:$O$204,0,설정!$B$4),실적!$A$5:$A$204,$A6))</f>
        <v>326</v>
      </c>
      <c r="F6" s="9" t="n">
        <f aca="false">IF($A6="","",E6-D6)</f>
        <v>17</v>
      </c>
      <c r="G6" s="10" t="n">
        <f aca="false">IF($A6="","",IF(D6=0,"n/a",F6/ABS(D6)))</f>
        <v>0.0550161812297735</v>
      </c>
      <c r="H6" s="11" t="str">
        <f aca="false">IF($A6="","",IF(F6=0,"-",IF((C6="매출")=(F6&gt;0),"유리","불리")))</f>
        <v>유리</v>
      </c>
      <c r="I6" s="9" t="n">
        <f aca="false">IF($A6="","",SUMPRODUCT((예산!$A$5:$A$204=$A6)*(COLUMN(예산!$D$4:$O$4)-COLUMN(예산!$D$4)+1&lt;=설정!$B$4)*예산!$D$5:$O$204))</f>
        <v>2661</v>
      </c>
      <c r="J6" s="9" t="n">
        <f aca="false">IF($A6="","",SUMPRODUCT((실적!$A$5:$A$204=$A6)*(COLUMN(실적!$D$4:$O$4)-COLUMN(실적!$D$4)+1&lt;=설정!$B$4)*실적!$D$5:$O$204))</f>
        <v>2636</v>
      </c>
      <c r="K6" s="9" t="n">
        <f aca="false">IF($A6="","",J6-I6)</f>
        <v>-25</v>
      </c>
      <c r="L6" s="10" t="n">
        <f aca="false">IF($A6="","",IF(I6=0,"n/a",K6/ABS(I6)))</f>
        <v>-0.00939496429913566</v>
      </c>
      <c r="M6" s="11" t="str">
        <f aca="false">IF($A6="","",IF(K6=0,"-",IF((C6="매출")=(K6&gt;0),"유리","불리")))</f>
        <v>불리</v>
      </c>
      <c r="N6" s="18" t="str">
        <f aca="false">IF($A6="","",IF(AND(ABS(F6)&gt;=설정!$B$5,OR(D6=0,ABS(IF(D6=0,0,F6/D6))&gt;=설정!$B$6)),"●",""))</f>
        <v/>
      </c>
      <c r="O6" s="31"/>
      <c r="P6" s="44" t="str">
        <f aca="false">IF($A6="","",IF(N6="","",B6&amp;": 당월 실적 "&amp;TEXT(E6,"#,##0")&amp;설정!$B$7&amp;"으로 예산 대비 "&amp;TEXT(ABS(F6),"#,##0")&amp;설정!$B$7&amp;"("&amp;IF(D6=0,"예산 없음",TEXT(ABS(G6),"0.0%"))&amp;") "&amp;IF(C6="매출",IF(F6&gt;0,"상회","하회"),IF(F6&gt;0,"초과","절감"))&amp;" ["&amp;H6&amp;"]. 원인: "&amp;IF(O6="","___",O6)))</f>
        <v/>
      </c>
      <c r="Q6" s="45" t="n">
        <f aca="false">IF($A6="","",IF(N6="●",ABS(F6)+ROW()/1000000,0))</f>
        <v>0</v>
      </c>
    </row>
    <row r="7" customFormat="false" ht="15" hidden="false" customHeight="false" outlineLevel="0" collapsed="false">
      <c r="A7" s="43" t="n">
        <f aca="false">IF(예산!A7="","",예산!A7)</f>
        <v>4030</v>
      </c>
      <c r="B7" s="43" t="str">
        <f aca="false">IF(예산!B7="","",예산!B7)</f>
        <v>용역매출</v>
      </c>
      <c r="C7" s="43" t="str">
        <f aca="false">IF(예산!C7="","",예산!C7)</f>
        <v>매출</v>
      </c>
      <c r="D7" s="9" t="n">
        <f aca="false">IF($A7="","",SUMIFS(INDEX(예산!$D$5:$O$204,0,설정!$B$4),예산!$A$5:$A$204,$A7))</f>
        <v>154</v>
      </c>
      <c r="E7" s="9" t="n">
        <f aca="false">IF($A7="","",SUMIFS(INDEX(실적!$D$5:$O$204,0,설정!$B$4),실적!$A$5:$A$204,$A7))</f>
        <v>192</v>
      </c>
      <c r="F7" s="9" t="n">
        <f aca="false">IF($A7="","",E7-D7)</f>
        <v>38</v>
      </c>
      <c r="G7" s="10" t="n">
        <f aca="false">IF($A7="","",IF(D7=0,"n/a",F7/ABS(D7)))</f>
        <v>0.246753246753247</v>
      </c>
      <c r="H7" s="11" t="str">
        <f aca="false">IF($A7="","",IF(F7=0,"-",IF((C7="매출")=(F7&gt;0),"유리","불리")))</f>
        <v>유리</v>
      </c>
      <c r="I7" s="9" t="n">
        <f aca="false">IF($A7="","",SUMPRODUCT((예산!$A$5:$A$204=$A7)*(COLUMN(예산!$D$4:$O$4)-COLUMN(예산!$D$4)+1&lt;=설정!$B$4)*예산!$D$5:$O$204))</f>
        <v>1331</v>
      </c>
      <c r="J7" s="9" t="n">
        <f aca="false">IF($A7="","",SUMPRODUCT((실적!$A$5:$A$204=$A7)*(COLUMN(실적!$D$4:$O$4)-COLUMN(실적!$D$4)+1&lt;=설정!$B$4)*실적!$D$5:$O$204))</f>
        <v>1359</v>
      </c>
      <c r="K7" s="9" t="n">
        <f aca="false">IF($A7="","",J7-I7)</f>
        <v>28</v>
      </c>
      <c r="L7" s="10" t="n">
        <f aca="false">IF($A7="","",IF(I7=0,"n/a",K7/ABS(I7)))</f>
        <v>0.0210368144252442</v>
      </c>
      <c r="M7" s="11" t="str">
        <f aca="false">IF($A7="","",IF(K7=0,"-",IF((C7="매출")=(K7&gt;0),"유리","불리")))</f>
        <v>유리</v>
      </c>
      <c r="N7" s="18" t="str">
        <f aca="false">IF($A7="","",IF(AND(ABS(F7)&gt;=설정!$B$5,OR(D7=0,ABS(IF(D7=0,0,F7/D7))&gt;=설정!$B$6)),"●",""))</f>
        <v/>
      </c>
      <c r="O7" s="31"/>
      <c r="P7" s="44" t="str">
        <f aca="false">IF($A7="","",IF(N7="","",B7&amp;": 당월 실적 "&amp;TEXT(E7,"#,##0")&amp;설정!$B$7&amp;"으로 예산 대비 "&amp;TEXT(ABS(F7),"#,##0")&amp;설정!$B$7&amp;"("&amp;IF(D7=0,"예산 없음",TEXT(ABS(G7),"0.0%"))&amp;") "&amp;IF(C7="매출",IF(F7&gt;0,"상회","하회"),IF(F7&gt;0,"초과","절감"))&amp;" ["&amp;H7&amp;"]. 원인: "&amp;IF(O7="","___",O7)))</f>
        <v/>
      </c>
      <c r="Q7" s="45" t="n">
        <f aca="false">IF($A7="","",IF(N7="●",ABS(F7)+ROW()/1000000,0))</f>
        <v>0</v>
      </c>
    </row>
    <row r="8" customFormat="false" ht="15" hidden="false" customHeight="false" outlineLevel="0" collapsed="false">
      <c r="A8" s="43" t="n">
        <f aca="false">IF(예산!A8="","",예산!A8)</f>
        <v>5010</v>
      </c>
      <c r="B8" s="43" t="str">
        <f aca="false">IF(예산!B8="","",예산!B8)</f>
        <v>원재료비</v>
      </c>
      <c r="C8" s="43" t="str">
        <f aca="false">IF(예산!C8="","",예산!C8)</f>
        <v>비용</v>
      </c>
      <c r="D8" s="9" t="n">
        <f aca="false">IF($A8="","",SUMIFS(INDEX(예산!$D$5:$O$204,0,설정!$B$4),예산!$A$5:$A$204,$A8))</f>
        <v>515</v>
      </c>
      <c r="E8" s="9" t="n">
        <f aca="false">IF($A8="","",SUMIFS(INDEX(실적!$D$5:$O$204,0,설정!$B$4),실적!$A$5:$A$204,$A8))</f>
        <v>587</v>
      </c>
      <c r="F8" s="9" t="n">
        <f aca="false">IF($A8="","",E8-D8)</f>
        <v>72</v>
      </c>
      <c r="G8" s="10" t="n">
        <f aca="false">IF($A8="","",IF(D8=0,"n/a",F8/ABS(D8)))</f>
        <v>0.139805825242718</v>
      </c>
      <c r="H8" s="11" t="str">
        <f aca="false">IF($A8="","",IF(F8=0,"-",IF((C8="매출")=(F8&gt;0),"유리","불리")))</f>
        <v>불리</v>
      </c>
      <c r="I8" s="9" t="n">
        <f aca="false">IF($A8="","",SUMPRODUCT((예산!$A$5:$A$204=$A8)*(COLUMN(예산!$D$4:$O$4)-COLUMN(예산!$D$4)+1&lt;=설정!$B$4)*예산!$D$5:$O$204))</f>
        <v>4435</v>
      </c>
      <c r="J8" s="9" t="n">
        <f aca="false">IF($A8="","",SUMPRODUCT((실적!$A$5:$A$204=$A8)*(COLUMN(실적!$D$4:$O$4)-COLUMN(실적!$D$4)+1&lt;=설정!$B$4)*실적!$D$5:$O$204))</f>
        <v>4463</v>
      </c>
      <c r="K8" s="9" t="n">
        <f aca="false">IF($A8="","",J8-I8)</f>
        <v>28</v>
      </c>
      <c r="L8" s="10" t="n">
        <f aca="false">IF($A8="","",IF(I8=0,"n/a",K8/ABS(I8)))</f>
        <v>0.00631341600901917</v>
      </c>
      <c r="M8" s="11" t="str">
        <f aca="false">IF($A8="","",IF(K8=0,"-",IF((C8="매출")=(K8&gt;0),"유리","불리")))</f>
        <v>불리</v>
      </c>
      <c r="N8" s="18" t="str">
        <f aca="false">IF($A8="","",IF(AND(ABS(F8)&gt;=설정!$B$5,OR(D8=0,ABS(IF(D8=0,0,F8/D8))&gt;=설정!$B$6)),"●",""))</f>
        <v>●</v>
      </c>
      <c r="O8" s="31"/>
      <c r="P8" s="44" t="str">
        <f aca="false">IF($A8="","",IF(N8="","",B8&amp;": 당월 실적 "&amp;TEXT(E8,"#,##0")&amp;설정!$B$7&amp;"으로 예산 대비 "&amp;TEXT(ABS(F8),"#,##0")&amp;설정!$B$7&amp;"("&amp;IF(D8=0,"예산 없음",TEXT(ABS(G8),"0.0%"))&amp;") "&amp;IF(C8="매출",IF(F8&gt;0,"상회","하회"),IF(F8&gt;0,"초과","절감"))&amp;" ["&amp;H8&amp;"]. 원인: "&amp;IF(O8="","___",O8)))</f>
        <v>원재료비: 당월 실적 587백만원으로 예산 대비 72백만원(14.0%) 초과 [불리]. 원인: ___</v>
      </c>
      <c r="Q8" s="45" t="n">
        <f aca="false">IF($A8="","",IF(N8="●",ABS(F8)+ROW()/1000000,0))</f>
        <v>72.000008</v>
      </c>
    </row>
    <row r="9" customFormat="false" ht="15" hidden="false" customHeight="false" outlineLevel="0" collapsed="false">
      <c r="A9" s="43" t="n">
        <f aca="false">IF(예산!A9="","",예산!A9)</f>
        <v>5020</v>
      </c>
      <c r="B9" s="43" t="str">
        <f aca="false">IF(예산!B9="","",예산!B9)</f>
        <v>외주가공비</v>
      </c>
      <c r="C9" s="43" t="str">
        <f aca="false">IF(예산!C9="","",예산!C9)</f>
        <v>비용</v>
      </c>
      <c r="D9" s="9" t="n">
        <f aca="false">IF($A9="","",SUMIFS(INDEX(예산!$D$5:$O$204,0,설정!$B$4),예산!$A$5:$A$204,$A9))</f>
        <v>124</v>
      </c>
      <c r="E9" s="9" t="n">
        <f aca="false">IF($A9="","",SUMIFS(INDEX(실적!$D$5:$O$204,0,설정!$B$4),실적!$A$5:$A$204,$A9))</f>
        <v>120</v>
      </c>
      <c r="F9" s="9" t="n">
        <f aca="false">IF($A9="","",E9-D9)</f>
        <v>-4</v>
      </c>
      <c r="G9" s="10" t="n">
        <f aca="false">IF($A9="","",IF(D9=0,"n/a",F9/ABS(D9)))</f>
        <v>-0.032258064516129</v>
      </c>
      <c r="H9" s="11" t="str">
        <f aca="false">IF($A9="","",IF(F9=0,"-",IF((C9="매출")=(F9&gt;0),"유리","불리")))</f>
        <v>유리</v>
      </c>
      <c r="I9" s="9" t="n">
        <f aca="false">IF($A9="","",SUMPRODUCT((예산!$A$5:$A$204=$A9)*(COLUMN(예산!$D$4:$O$4)-COLUMN(예산!$D$4)+1&lt;=설정!$B$4)*예산!$D$5:$O$204))</f>
        <v>1064</v>
      </c>
      <c r="J9" s="9" t="n">
        <f aca="false">IF($A9="","",SUMPRODUCT((실적!$A$5:$A$204=$A9)*(COLUMN(실적!$D$4:$O$4)-COLUMN(실적!$D$4)+1&lt;=설정!$B$4)*실적!$D$5:$O$204))</f>
        <v>1062</v>
      </c>
      <c r="K9" s="9" t="n">
        <f aca="false">IF($A9="","",J9-I9)</f>
        <v>-2</v>
      </c>
      <c r="L9" s="10" t="n">
        <f aca="false">IF($A9="","",IF(I9=0,"n/a",K9/ABS(I9)))</f>
        <v>-0.0018796992481203</v>
      </c>
      <c r="M9" s="11" t="str">
        <f aca="false">IF($A9="","",IF(K9=0,"-",IF((C9="매출")=(K9&gt;0),"유리","불리")))</f>
        <v>유리</v>
      </c>
      <c r="N9" s="18" t="str">
        <f aca="false">IF($A9="","",IF(AND(ABS(F9)&gt;=설정!$B$5,OR(D9=0,ABS(IF(D9=0,0,F9/D9))&gt;=설정!$B$6)),"●",""))</f>
        <v/>
      </c>
      <c r="O9" s="31"/>
      <c r="P9" s="44" t="str">
        <f aca="false">IF($A9="","",IF(N9="","",B9&amp;": 당월 실적 "&amp;TEXT(E9,"#,##0")&amp;설정!$B$7&amp;"으로 예산 대비 "&amp;TEXT(ABS(F9),"#,##0")&amp;설정!$B$7&amp;"("&amp;IF(D9=0,"예산 없음",TEXT(ABS(G9),"0.0%"))&amp;") "&amp;IF(C9="매출",IF(F9&gt;0,"상회","하회"),IF(F9&gt;0,"초과","절감"))&amp;" ["&amp;H9&amp;"]. 원인: "&amp;IF(O9="","___",O9)))</f>
        <v/>
      </c>
      <c r="Q9" s="45" t="n">
        <f aca="false">IF($A9="","",IF(N9="●",ABS(F9)+ROW()/1000000,0))</f>
        <v>0</v>
      </c>
    </row>
    <row r="10" customFormat="false" ht="15" hidden="false" customHeight="false" outlineLevel="0" collapsed="false">
      <c r="A10" s="43" t="n">
        <f aca="false">IF(예산!A10="","",예산!A10)</f>
        <v>6010</v>
      </c>
      <c r="B10" s="43" t="str">
        <f aca="false">IF(예산!B10="","",예산!B10)</f>
        <v>급여</v>
      </c>
      <c r="C10" s="43" t="str">
        <f aca="false">IF(예산!C10="","",예산!C10)</f>
        <v>비용</v>
      </c>
      <c r="D10" s="9" t="n">
        <f aca="false">IF($A10="","",SUMIFS(INDEX(예산!$D$5:$O$204,0,설정!$B$4),예산!$A$5:$A$204,$A10))</f>
        <v>258</v>
      </c>
      <c r="E10" s="9" t="n">
        <f aca="false">IF($A10="","",SUMIFS(INDEX(실적!$D$5:$O$204,0,설정!$B$4),실적!$A$5:$A$204,$A10))</f>
        <v>266</v>
      </c>
      <c r="F10" s="9" t="n">
        <f aca="false">IF($A10="","",E10-D10)</f>
        <v>8</v>
      </c>
      <c r="G10" s="10" t="n">
        <f aca="false">IF($A10="","",IF(D10=0,"n/a",F10/ABS(D10)))</f>
        <v>0.0310077519379845</v>
      </c>
      <c r="H10" s="11" t="str">
        <f aca="false">IF($A10="","",IF(F10=0,"-",IF((C10="매출")=(F10&gt;0),"유리","불리")))</f>
        <v>불리</v>
      </c>
      <c r="I10" s="9" t="n">
        <f aca="false">IF($A10="","",SUMPRODUCT((예산!$A$5:$A$204=$A10)*(COLUMN(예산!$D$4:$O$4)-COLUMN(예산!$D$4)+1&lt;=설정!$B$4)*예산!$D$5:$O$204))</f>
        <v>2217</v>
      </c>
      <c r="J10" s="9" t="n">
        <f aca="false">IF($A10="","",SUMPRODUCT((실적!$A$5:$A$204=$A10)*(COLUMN(실적!$D$4:$O$4)-COLUMN(실적!$D$4)+1&lt;=설정!$B$4)*실적!$D$5:$O$204))</f>
        <v>2242</v>
      </c>
      <c r="K10" s="9" t="n">
        <f aca="false">IF($A10="","",J10-I10)</f>
        <v>25</v>
      </c>
      <c r="L10" s="10" t="n">
        <f aca="false">IF($A10="","",IF(I10=0,"n/a",K10/ABS(I10)))</f>
        <v>0.01127649977447</v>
      </c>
      <c r="M10" s="11" t="str">
        <f aca="false">IF($A10="","",IF(K10=0,"-",IF((C10="매출")=(K10&gt;0),"유리","불리")))</f>
        <v>불리</v>
      </c>
      <c r="N10" s="18" t="str">
        <f aca="false">IF($A10="","",IF(AND(ABS(F10)&gt;=설정!$B$5,OR(D10=0,ABS(IF(D10=0,0,F10/D10))&gt;=설정!$B$6)),"●",""))</f>
        <v/>
      </c>
      <c r="O10" s="31"/>
      <c r="P10" s="44" t="str">
        <f aca="false">IF($A10="","",IF(N10="","",B10&amp;": 당월 실적 "&amp;TEXT(E10,"#,##0")&amp;설정!$B$7&amp;"으로 예산 대비 "&amp;TEXT(ABS(F10),"#,##0")&amp;설정!$B$7&amp;"("&amp;IF(D10=0,"예산 없음",TEXT(ABS(G10),"0.0%"))&amp;") "&amp;IF(C10="매출",IF(F10&gt;0,"상회","하회"),IF(F10&gt;0,"초과","절감"))&amp;" ["&amp;H10&amp;"]. 원인: "&amp;IF(O10="","___",O10)))</f>
        <v/>
      </c>
      <c r="Q10" s="45" t="n">
        <f aca="false">IF($A10="","",IF(N10="●",ABS(F10)+ROW()/1000000,0))</f>
        <v>0</v>
      </c>
    </row>
    <row r="11" customFormat="false" ht="15" hidden="false" customHeight="false" outlineLevel="0" collapsed="false">
      <c r="A11" s="43" t="n">
        <f aca="false">IF(예산!A11="","",예산!A11)</f>
        <v>6020</v>
      </c>
      <c r="B11" s="43" t="str">
        <f aca="false">IF(예산!B11="","",예산!B11)</f>
        <v>퇴직급여</v>
      </c>
      <c r="C11" s="43" t="str">
        <f aca="false">IF(예산!C11="","",예산!C11)</f>
        <v>비용</v>
      </c>
      <c r="D11" s="9" t="n">
        <f aca="false">IF($A11="","",SUMIFS(INDEX(예산!$D$5:$O$204,0,설정!$B$4),예산!$A$5:$A$204,$A11))</f>
        <v>21</v>
      </c>
      <c r="E11" s="9" t="n">
        <f aca="false">IF($A11="","",SUMIFS(INDEX(실적!$D$5:$O$204,0,설정!$B$4),실적!$A$5:$A$204,$A11))</f>
        <v>21</v>
      </c>
      <c r="F11" s="9" t="n">
        <f aca="false">IF($A11="","",E11-D11)</f>
        <v>0</v>
      </c>
      <c r="G11" s="10" t="n">
        <f aca="false">IF($A11="","",IF(D11=0,"n/a",F11/ABS(D11)))</f>
        <v>0</v>
      </c>
      <c r="H11" s="11" t="str">
        <f aca="false">IF($A11="","",IF(F11=0,"-",IF((C11="매출")=(F11&gt;0),"유리","불리")))</f>
        <v>-</v>
      </c>
      <c r="I11" s="9" t="n">
        <f aca="false">IF($A11="","",SUMPRODUCT((예산!$A$5:$A$204=$A11)*(COLUMN(예산!$D$4:$O$4)-COLUMN(예산!$D$4)+1&lt;=설정!$B$4)*예산!$D$5:$O$204))</f>
        <v>177</v>
      </c>
      <c r="J11" s="9" t="n">
        <f aca="false">IF($A11="","",SUMPRODUCT((실적!$A$5:$A$204=$A11)*(COLUMN(실적!$D$4:$O$4)-COLUMN(실적!$D$4)+1&lt;=설정!$B$4)*실적!$D$5:$O$204))</f>
        <v>177</v>
      </c>
      <c r="K11" s="9" t="n">
        <f aca="false">IF($A11="","",J11-I11)</f>
        <v>0</v>
      </c>
      <c r="L11" s="10" t="n">
        <f aca="false">IF($A11="","",IF(I11=0,"n/a",K11/ABS(I11)))</f>
        <v>0</v>
      </c>
      <c r="M11" s="11" t="str">
        <f aca="false">IF($A11="","",IF(K11=0,"-",IF((C11="매출")=(K11&gt;0),"유리","불리")))</f>
        <v>-</v>
      </c>
      <c r="N11" s="18" t="str">
        <f aca="false">IF($A11="","",IF(AND(ABS(F11)&gt;=설정!$B$5,OR(D11=0,ABS(IF(D11=0,0,F11/D11))&gt;=설정!$B$6)),"●",""))</f>
        <v/>
      </c>
      <c r="O11" s="31"/>
      <c r="P11" s="44" t="str">
        <f aca="false">IF($A11="","",IF(N11="","",B11&amp;": 당월 실적 "&amp;TEXT(E11,"#,##0")&amp;설정!$B$7&amp;"으로 예산 대비 "&amp;TEXT(ABS(F11),"#,##0")&amp;설정!$B$7&amp;"("&amp;IF(D11=0,"예산 없음",TEXT(ABS(G11),"0.0%"))&amp;") "&amp;IF(C11="매출",IF(F11&gt;0,"상회","하회"),IF(F11&gt;0,"초과","절감"))&amp;" ["&amp;H11&amp;"]. 원인: "&amp;IF(O11="","___",O11)))</f>
        <v/>
      </c>
      <c r="Q11" s="45" t="n">
        <f aca="false">IF($A11="","",IF(N11="●",ABS(F11)+ROW()/1000000,0))</f>
        <v>0</v>
      </c>
    </row>
    <row r="12" customFormat="false" ht="15" hidden="false" customHeight="false" outlineLevel="0" collapsed="false">
      <c r="A12" s="43" t="n">
        <f aca="false">IF(예산!A12="","",예산!A12)</f>
        <v>6030</v>
      </c>
      <c r="B12" s="43" t="str">
        <f aca="false">IF(예산!B12="","",예산!B12)</f>
        <v>복리후생비</v>
      </c>
      <c r="C12" s="43" t="str">
        <f aca="false">IF(예산!C12="","",예산!C12)</f>
        <v>비용</v>
      </c>
      <c r="D12" s="9" t="n">
        <f aca="false">IF($A12="","",SUMIFS(INDEX(예산!$D$5:$O$204,0,설정!$B$4),예산!$A$5:$A$204,$A12))</f>
        <v>41</v>
      </c>
      <c r="E12" s="9" t="n">
        <f aca="false">IF($A12="","",SUMIFS(INDEX(실적!$D$5:$O$204,0,설정!$B$4),실적!$A$5:$A$204,$A12))</f>
        <v>42</v>
      </c>
      <c r="F12" s="9" t="n">
        <f aca="false">IF($A12="","",E12-D12)</f>
        <v>1</v>
      </c>
      <c r="G12" s="10" t="n">
        <f aca="false">IF($A12="","",IF(D12=0,"n/a",F12/ABS(D12)))</f>
        <v>0.024390243902439</v>
      </c>
      <c r="H12" s="11" t="str">
        <f aca="false">IF($A12="","",IF(F12=0,"-",IF((C12="매출")=(F12&gt;0),"유리","불리")))</f>
        <v>불리</v>
      </c>
      <c r="I12" s="9" t="n">
        <f aca="false">IF($A12="","",SUMPRODUCT((예산!$A$5:$A$204=$A12)*(COLUMN(예산!$D$4:$O$4)-COLUMN(예산!$D$4)+1&lt;=설정!$B$4)*예산!$D$5:$O$204))</f>
        <v>355</v>
      </c>
      <c r="J12" s="9" t="n">
        <f aca="false">IF($A12="","",SUMPRODUCT((실적!$A$5:$A$204=$A12)*(COLUMN(실적!$D$4:$O$4)-COLUMN(실적!$D$4)+1&lt;=설정!$B$4)*실적!$D$5:$O$204))</f>
        <v>359</v>
      </c>
      <c r="K12" s="9" t="n">
        <f aca="false">IF($A12="","",J12-I12)</f>
        <v>4</v>
      </c>
      <c r="L12" s="10" t="n">
        <f aca="false">IF($A12="","",IF(I12=0,"n/a",K12/ABS(I12)))</f>
        <v>0.0112676056338028</v>
      </c>
      <c r="M12" s="11" t="str">
        <f aca="false">IF($A12="","",IF(K12=0,"-",IF((C12="매출")=(K12&gt;0),"유리","불리")))</f>
        <v>불리</v>
      </c>
      <c r="N12" s="18" t="str">
        <f aca="false">IF($A12="","",IF(AND(ABS(F12)&gt;=설정!$B$5,OR(D12=0,ABS(IF(D12=0,0,F12/D12))&gt;=설정!$B$6)),"●",""))</f>
        <v/>
      </c>
      <c r="O12" s="31"/>
      <c r="P12" s="44" t="str">
        <f aca="false">IF($A12="","",IF(N12="","",B12&amp;": 당월 실적 "&amp;TEXT(E12,"#,##0")&amp;설정!$B$7&amp;"으로 예산 대비 "&amp;TEXT(ABS(F12),"#,##0")&amp;설정!$B$7&amp;"("&amp;IF(D12=0,"예산 없음",TEXT(ABS(G12),"0.0%"))&amp;") "&amp;IF(C12="매출",IF(F12&gt;0,"상회","하회"),IF(F12&gt;0,"초과","절감"))&amp;" ["&amp;H12&amp;"]. 원인: "&amp;IF(O12="","___",O12)))</f>
        <v/>
      </c>
      <c r="Q12" s="45" t="n">
        <f aca="false">IF($A12="","",IF(N12="●",ABS(F12)+ROW()/1000000,0))</f>
        <v>0</v>
      </c>
    </row>
    <row r="13" customFormat="false" ht="15" hidden="false" customHeight="false" outlineLevel="0" collapsed="false">
      <c r="A13" s="43" t="n">
        <f aca="false">IF(예산!A13="","",예산!A13)</f>
        <v>6040</v>
      </c>
      <c r="B13" s="43" t="str">
        <f aca="false">IF(예산!B13="","",예산!B13)</f>
        <v>여비교통비</v>
      </c>
      <c r="C13" s="43" t="str">
        <f aca="false">IF(예산!C13="","",예산!C13)</f>
        <v>비용</v>
      </c>
      <c r="D13" s="9" t="n">
        <f aca="false">IF($A13="","",SUMIFS(INDEX(예산!$D$5:$O$204,0,설정!$B$4),예산!$A$5:$A$204,$A13))</f>
        <v>15</v>
      </c>
      <c r="E13" s="9" t="n">
        <f aca="false">IF($A13="","",SUMIFS(INDEX(실적!$D$5:$O$204,0,설정!$B$4),실적!$A$5:$A$204,$A13))</f>
        <v>14</v>
      </c>
      <c r="F13" s="9" t="n">
        <f aca="false">IF($A13="","",E13-D13)</f>
        <v>-1</v>
      </c>
      <c r="G13" s="10" t="n">
        <f aca="false">IF($A13="","",IF(D13=0,"n/a",F13/ABS(D13)))</f>
        <v>-0.0666666666666667</v>
      </c>
      <c r="H13" s="11" t="str">
        <f aca="false">IF($A13="","",IF(F13=0,"-",IF((C13="매출")=(F13&gt;0),"유리","불리")))</f>
        <v>유리</v>
      </c>
      <c r="I13" s="9" t="n">
        <f aca="false">IF($A13="","",SUMPRODUCT((예산!$A$5:$A$204=$A13)*(COLUMN(예산!$D$4:$O$4)-COLUMN(예산!$D$4)+1&lt;=설정!$B$4)*예산!$D$5:$O$204))</f>
        <v>134</v>
      </c>
      <c r="J13" s="9" t="n">
        <f aca="false">IF($A13="","",SUMPRODUCT((실적!$A$5:$A$204=$A13)*(COLUMN(실적!$D$4:$O$4)-COLUMN(실적!$D$4)+1&lt;=설정!$B$4)*실적!$D$5:$O$204))</f>
        <v>134</v>
      </c>
      <c r="K13" s="9" t="n">
        <f aca="false">IF($A13="","",J13-I13)</f>
        <v>0</v>
      </c>
      <c r="L13" s="10" t="n">
        <f aca="false">IF($A13="","",IF(I13=0,"n/a",K13/ABS(I13)))</f>
        <v>0</v>
      </c>
      <c r="M13" s="11" t="str">
        <f aca="false">IF($A13="","",IF(K13=0,"-",IF((C13="매출")=(K13&gt;0),"유리","불리")))</f>
        <v>-</v>
      </c>
      <c r="N13" s="18" t="str">
        <f aca="false">IF($A13="","",IF(AND(ABS(F13)&gt;=설정!$B$5,OR(D13=0,ABS(IF(D13=0,0,F13/D13))&gt;=설정!$B$6)),"●",""))</f>
        <v/>
      </c>
      <c r="O13" s="31"/>
      <c r="P13" s="44" t="str">
        <f aca="false">IF($A13="","",IF(N13="","",B13&amp;": 당월 실적 "&amp;TEXT(E13,"#,##0")&amp;설정!$B$7&amp;"으로 예산 대비 "&amp;TEXT(ABS(F13),"#,##0")&amp;설정!$B$7&amp;"("&amp;IF(D13=0,"예산 없음",TEXT(ABS(G13),"0.0%"))&amp;") "&amp;IF(C13="매출",IF(F13&gt;0,"상회","하회"),IF(F13&gt;0,"초과","절감"))&amp;" ["&amp;H13&amp;"]. 원인: "&amp;IF(O13="","___",O13)))</f>
        <v/>
      </c>
      <c r="Q13" s="45" t="n">
        <f aca="false">IF($A13="","",IF(N13="●",ABS(F13)+ROW()/1000000,0))</f>
        <v>0</v>
      </c>
    </row>
    <row r="14" customFormat="false" ht="15" hidden="false" customHeight="false" outlineLevel="0" collapsed="false">
      <c r="A14" s="43" t="n">
        <f aca="false">IF(예산!A14="","",예산!A14)</f>
        <v>6050</v>
      </c>
      <c r="B14" s="43" t="str">
        <f aca="false">IF(예산!B14="","",예산!B14)</f>
        <v>접대비</v>
      </c>
      <c r="C14" s="43" t="str">
        <f aca="false">IF(예산!C14="","",예산!C14)</f>
        <v>비용</v>
      </c>
      <c r="D14" s="9" t="n">
        <f aca="false">IF($A14="","",SUMIFS(INDEX(예산!$D$5:$O$204,0,설정!$B$4),예산!$A$5:$A$204,$A14))</f>
        <v>10</v>
      </c>
      <c r="E14" s="9" t="n">
        <f aca="false">IF($A14="","",SUMIFS(INDEX(실적!$D$5:$O$204,0,설정!$B$4),실적!$A$5:$A$204,$A14))</f>
        <v>10</v>
      </c>
      <c r="F14" s="9" t="n">
        <f aca="false">IF($A14="","",E14-D14)</f>
        <v>0</v>
      </c>
      <c r="G14" s="10" t="n">
        <f aca="false">IF($A14="","",IF(D14=0,"n/a",F14/ABS(D14)))</f>
        <v>0</v>
      </c>
      <c r="H14" s="11" t="str">
        <f aca="false">IF($A14="","",IF(F14=0,"-",IF((C14="매출")=(F14&gt;0),"유리","불리")))</f>
        <v>-</v>
      </c>
      <c r="I14" s="9" t="n">
        <f aca="false">IF($A14="","",SUMPRODUCT((예산!$A$5:$A$204=$A14)*(COLUMN(예산!$D$4:$O$4)-COLUMN(예산!$D$4)+1&lt;=설정!$B$4)*예산!$D$5:$O$204))</f>
        <v>88</v>
      </c>
      <c r="J14" s="9" t="n">
        <f aca="false">IF($A14="","",SUMPRODUCT((실적!$A$5:$A$204=$A14)*(COLUMN(실적!$D$4:$O$4)-COLUMN(실적!$D$4)+1&lt;=설정!$B$4)*실적!$D$5:$O$204))</f>
        <v>87</v>
      </c>
      <c r="K14" s="9" t="n">
        <f aca="false">IF($A14="","",J14-I14)</f>
        <v>-1</v>
      </c>
      <c r="L14" s="10" t="n">
        <f aca="false">IF($A14="","",IF(I14=0,"n/a",K14/ABS(I14)))</f>
        <v>-0.0113636363636364</v>
      </c>
      <c r="M14" s="11" t="str">
        <f aca="false">IF($A14="","",IF(K14=0,"-",IF((C14="매출")=(K14&gt;0),"유리","불리")))</f>
        <v>유리</v>
      </c>
      <c r="N14" s="18" t="str">
        <f aca="false">IF($A14="","",IF(AND(ABS(F14)&gt;=설정!$B$5,OR(D14=0,ABS(IF(D14=0,0,F14/D14))&gt;=설정!$B$6)),"●",""))</f>
        <v/>
      </c>
      <c r="O14" s="31"/>
      <c r="P14" s="44" t="str">
        <f aca="false">IF($A14="","",IF(N14="","",B14&amp;": 당월 실적 "&amp;TEXT(E14,"#,##0")&amp;설정!$B$7&amp;"으로 예산 대비 "&amp;TEXT(ABS(F14),"#,##0")&amp;설정!$B$7&amp;"("&amp;IF(D14=0,"예산 없음",TEXT(ABS(G14),"0.0%"))&amp;") "&amp;IF(C14="매출",IF(F14&gt;0,"상회","하회"),IF(F14&gt;0,"초과","절감"))&amp;" ["&amp;H14&amp;"]. 원인: "&amp;IF(O14="","___",O14)))</f>
        <v/>
      </c>
      <c r="Q14" s="45" t="n">
        <f aca="false">IF($A14="","",IF(N14="●",ABS(F14)+ROW()/1000000,0))</f>
        <v>0</v>
      </c>
    </row>
    <row r="15" customFormat="false" ht="26.85" hidden="false" customHeight="false" outlineLevel="0" collapsed="false">
      <c r="A15" s="43" t="n">
        <f aca="false">IF(예산!A15="","",예산!A15)</f>
        <v>6060</v>
      </c>
      <c r="B15" s="43" t="str">
        <f aca="false">IF(예산!B15="","",예산!B15)</f>
        <v>광고선전비</v>
      </c>
      <c r="C15" s="43" t="str">
        <f aca="false">IF(예산!C15="","",예산!C15)</f>
        <v>비용</v>
      </c>
      <c r="D15" s="9" t="n">
        <f aca="false">IF($A15="","",SUMIFS(INDEX(예산!$D$5:$O$204,0,설정!$B$4),예산!$A$5:$A$204,$A15))</f>
        <v>62</v>
      </c>
      <c r="E15" s="9" t="n">
        <f aca="false">IF($A15="","",SUMIFS(INDEX(실적!$D$5:$O$204,0,설정!$B$4),실적!$A$5:$A$204,$A15))</f>
        <v>118</v>
      </c>
      <c r="F15" s="9" t="n">
        <f aca="false">IF($A15="","",E15-D15)</f>
        <v>56</v>
      </c>
      <c r="G15" s="10" t="n">
        <f aca="false">IF($A15="","",IF(D15=0,"n/a",F15/ABS(D15)))</f>
        <v>0.903225806451613</v>
      </c>
      <c r="H15" s="11" t="str">
        <f aca="false">IF($A15="","",IF(F15=0,"-",IF((C15="매출")=(F15&gt;0),"유리","불리")))</f>
        <v>불리</v>
      </c>
      <c r="I15" s="9" t="n">
        <f aca="false">IF($A15="","",SUMPRODUCT((예산!$A$5:$A$204=$A15)*(COLUMN(예산!$D$4:$O$4)-COLUMN(예산!$D$4)+1&lt;=설정!$B$4)*예산!$D$5:$O$204))</f>
        <v>532</v>
      </c>
      <c r="J15" s="9" t="n">
        <f aca="false">IF($A15="","",SUMPRODUCT((실적!$A$5:$A$204=$A15)*(COLUMN(실적!$D$4:$O$4)-COLUMN(실적!$D$4)+1&lt;=설정!$B$4)*실적!$D$5:$O$204))</f>
        <v>594</v>
      </c>
      <c r="K15" s="9" t="n">
        <f aca="false">IF($A15="","",J15-I15)</f>
        <v>62</v>
      </c>
      <c r="L15" s="10" t="n">
        <f aca="false">IF($A15="","",IF(I15=0,"n/a",K15/ABS(I15)))</f>
        <v>0.116541353383459</v>
      </c>
      <c r="M15" s="11" t="str">
        <f aca="false">IF($A15="","",IF(K15=0,"-",IF((C15="매출")=(K15&gt;0),"유리","불리")))</f>
        <v>불리</v>
      </c>
      <c r="N15" s="18" t="str">
        <f aca="false">IF($A15="","",IF(AND(ABS(F15)&gt;=설정!$B$5,OR(D15=0,ABS(IF(D15=0,0,F15/D15))&gt;=설정!$B$6)),"●",""))</f>
        <v>●</v>
      </c>
      <c r="O15" s="35" t="s">
        <v>101</v>
      </c>
      <c r="P15" s="44" t="str">
        <f aca="false">IF($A15="","",IF(N15="","",B15&amp;": 당월 실적 "&amp;TEXT(E15,"#,##0")&amp;설정!$B$7&amp;"으로 예산 대비 "&amp;TEXT(ABS(F15),"#,##0")&amp;설정!$B$7&amp;"("&amp;IF(D15=0,"예산 없음",TEXT(ABS(G15),"0.0%"))&amp;") "&amp;IF(C15="매출",IF(F15&gt;0,"상회","하회"),IF(F15&gt;0,"초과","절감"))&amp;" ["&amp;H15&amp;"]. 원인: "&amp;IF(O15="","___",O15)))</f>
        <v>광고선전비: 당월 실적 118백만원으로 예산 대비 56백만원(90.3%) 초과 [불리]. 원인: 온라인 캠페인 조기 집행 (10월 예산분 선반영)</v>
      </c>
      <c r="Q15" s="45" t="n">
        <f aca="false">IF($A15="","",IF(N15="●",ABS(F15)+ROW()/1000000,0))</f>
        <v>56.000015</v>
      </c>
    </row>
    <row r="16" customFormat="false" ht="15" hidden="false" customHeight="false" outlineLevel="0" collapsed="false">
      <c r="A16" s="43" t="n">
        <f aca="false">IF(예산!A16="","",예산!A16)</f>
        <v>6070</v>
      </c>
      <c r="B16" s="43" t="str">
        <f aca="false">IF(예산!B16="","",예산!B16)</f>
        <v>지급수수료</v>
      </c>
      <c r="C16" s="43" t="str">
        <f aca="false">IF(예산!C16="","",예산!C16)</f>
        <v>비용</v>
      </c>
      <c r="D16" s="9" t="n">
        <f aca="false">IF($A16="","",SUMIFS(INDEX(예산!$D$5:$O$204,0,설정!$B$4),예산!$A$5:$A$204,$A16))</f>
        <v>46</v>
      </c>
      <c r="E16" s="9" t="n">
        <f aca="false">IF($A16="","",SUMIFS(INDEX(실적!$D$5:$O$204,0,설정!$B$4),실적!$A$5:$A$204,$A16))</f>
        <v>62</v>
      </c>
      <c r="F16" s="9" t="n">
        <f aca="false">IF($A16="","",E16-D16)</f>
        <v>16</v>
      </c>
      <c r="G16" s="10" t="n">
        <f aca="false">IF($A16="","",IF(D16=0,"n/a",F16/ABS(D16)))</f>
        <v>0.347826086956522</v>
      </c>
      <c r="H16" s="11" t="str">
        <f aca="false">IF($A16="","",IF(F16=0,"-",IF((C16="매출")=(F16&gt;0),"유리","불리")))</f>
        <v>불리</v>
      </c>
      <c r="I16" s="9" t="n">
        <f aca="false">IF($A16="","",SUMPRODUCT((예산!$A$5:$A$204=$A16)*(COLUMN(예산!$D$4:$O$4)-COLUMN(예산!$D$4)+1&lt;=설정!$B$4)*예산!$D$5:$O$204))</f>
        <v>398</v>
      </c>
      <c r="J16" s="9" t="n">
        <f aca="false">IF($A16="","",SUMPRODUCT((실적!$A$5:$A$204=$A16)*(COLUMN(실적!$D$4:$O$4)-COLUMN(실적!$D$4)+1&lt;=설정!$B$4)*실적!$D$5:$O$204))</f>
        <v>405</v>
      </c>
      <c r="K16" s="9" t="n">
        <f aca="false">IF($A16="","",J16-I16)</f>
        <v>7</v>
      </c>
      <c r="L16" s="10" t="n">
        <f aca="false">IF($A16="","",IF(I16=0,"n/a",K16/ABS(I16)))</f>
        <v>0.0175879396984925</v>
      </c>
      <c r="M16" s="11" t="str">
        <f aca="false">IF($A16="","",IF(K16=0,"-",IF((C16="매출")=(K16&gt;0),"유리","불리")))</f>
        <v>불리</v>
      </c>
      <c r="N16" s="18" t="str">
        <f aca="false">IF($A16="","",IF(AND(ABS(F16)&gt;=설정!$B$5,OR(D16=0,ABS(IF(D16=0,0,F16/D16))&gt;=설정!$B$6)),"●",""))</f>
        <v/>
      </c>
      <c r="O16" s="31"/>
      <c r="P16" s="44" t="str">
        <f aca="false">IF($A16="","",IF(N16="","",B16&amp;": 당월 실적 "&amp;TEXT(E16,"#,##0")&amp;설정!$B$7&amp;"으로 예산 대비 "&amp;TEXT(ABS(F16),"#,##0")&amp;설정!$B$7&amp;"("&amp;IF(D16=0,"예산 없음",TEXT(ABS(G16),"0.0%"))&amp;") "&amp;IF(C16="매출",IF(F16&gt;0,"상회","하회"),IF(F16&gt;0,"초과","절감"))&amp;" ["&amp;H16&amp;"]. 원인: "&amp;IF(O16="","___",O16)))</f>
        <v/>
      </c>
      <c r="Q16" s="45" t="n">
        <f aca="false">IF($A16="","",IF(N16="●",ABS(F16)+ROW()/1000000,0))</f>
        <v>0</v>
      </c>
    </row>
    <row r="17" customFormat="false" ht="15" hidden="false" customHeight="false" outlineLevel="0" collapsed="false">
      <c r="A17" s="43" t="n">
        <f aca="false">IF(예산!A17="","",예산!A17)</f>
        <v>6080</v>
      </c>
      <c r="B17" s="43" t="str">
        <f aca="false">IF(예산!B17="","",예산!B17)</f>
        <v>감가상각비</v>
      </c>
      <c r="C17" s="43" t="str">
        <f aca="false">IF(예산!C17="","",예산!C17)</f>
        <v>비용</v>
      </c>
      <c r="D17" s="9" t="n">
        <f aca="false">IF($A17="","",SUMIFS(INDEX(예산!$D$5:$O$204,0,설정!$B$4),예산!$A$5:$A$204,$A17))</f>
        <v>72</v>
      </c>
      <c r="E17" s="9" t="n">
        <f aca="false">IF($A17="","",SUMIFS(INDEX(실적!$D$5:$O$204,0,설정!$B$4),실적!$A$5:$A$204,$A17))</f>
        <v>75</v>
      </c>
      <c r="F17" s="9" t="n">
        <f aca="false">IF($A17="","",E17-D17)</f>
        <v>3</v>
      </c>
      <c r="G17" s="10" t="n">
        <f aca="false">IF($A17="","",IF(D17=0,"n/a",F17/ABS(D17)))</f>
        <v>0.0416666666666667</v>
      </c>
      <c r="H17" s="11" t="str">
        <f aca="false">IF($A17="","",IF(F17=0,"-",IF((C17="매출")=(F17&gt;0),"유리","불리")))</f>
        <v>불리</v>
      </c>
      <c r="I17" s="9" t="n">
        <f aca="false">IF($A17="","",SUMPRODUCT((예산!$A$5:$A$204=$A17)*(COLUMN(예산!$D$4:$O$4)-COLUMN(예산!$D$4)+1&lt;=설정!$B$4)*예산!$D$5:$O$204))</f>
        <v>621</v>
      </c>
      <c r="J17" s="9" t="n">
        <f aca="false">IF($A17="","",SUMPRODUCT((실적!$A$5:$A$204=$A17)*(COLUMN(실적!$D$4:$O$4)-COLUMN(실적!$D$4)+1&lt;=설정!$B$4)*실적!$D$5:$O$204))</f>
        <v>628</v>
      </c>
      <c r="K17" s="9" t="n">
        <f aca="false">IF($A17="","",J17-I17)</f>
        <v>7</v>
      </c>
      <c r="L17" s="10" t="n">
        <f aca="false">IF($A17="","",IF(I17=0,"n/a",K17/ABS(I17)))</f>
        <v>0.0112721417069243</v>
      </c>
      <c r="M17" s="11" t="str">
        <f aca="false">IF($A17="","",IF(K17=0,"-",IF((C17="매출")=(K17&gt;0),"유리","불리")))</f>
        <v>불리</v>
      </c>
      <c r="N17" s="18" t="str">
        <f aca="false">IF($A17="","",IF(AND(ABS(F17)&gt;=설정!$B$5,OR(D17=0,ABS(IF(D17=0,0,F17/D17))&gt;=설정!$B$6)),"●",""))</f>
        <v/>
      </c>
      <c r="O17" s="31"/>
      <c r="P17" s="44" t="str">
        <f aca="false">IF($A17="","",IF(N17="","",B17&amp;": 당월 실적 "&amp;TEXT(E17,"#,##0")&amp;설정!$B$7&amp;"으로 예산 대비 "&amp;TEXT(ABS(F17),"#,##0")&amp;설정!$B$7&amp;"("&amp;IF(D17=0,"예산 없음",TEXT(ABS(G17),"0.0%"))&amp;") "&amp;IF(C17="매출",IF(F17&gt;0,"상회","하회"),IF(F17&gt;0,"초과","절감"))&amp;" ["&amp;H17&amp;"]. 원인: "&amp;IF(O17="","___",O17)))</f>
        <v/>
      </c>
      <c r="Q17" s="45" t="n">
        <f aca="false">IF($A17="","",IF(N17="●",ABS(F17)+ROW()/1000000,0))</f>
        <v>0</v>
      </c>
    </row>
    <row r="18" customFormat="false" ht="15" hidden="false" customHeight="false" outlineLevel="0" collapsed="false">
      <c r="A18" s="43" t="n">
        <f aca="false">IF(예산!A18="","",예산!A18)</f>
        <v>6090</v>
      </c>
      <c r="B18" s="43" t="str">
        <f aca="false">IF(예산!B18="","",예산!B18)</f>
        <v>임차료</v>
      </c>
      <c r="C18" s="43" t="str">
        <f aca="false">IF(예산!C18="","",예산!C18)</f>
        <v>비용</v>
      </c>
      <c r="D18" s="9" t="n">
        <f aca="false">IF($A18="","",SUMIFS(INDEX(예산!$D$5:$O$204,0,설정!$B$4),예산!$A$5:$A$204,$A18))</f>
        <v>36</v>
      </c>
      <c r="E18" s="9" t="n">
        <f aca="false">IF($A18="","",SUMIFS(INDEX(실적!$D$5:$O$204,0,설정!$B$4),실적!$A$5:$A$204,$A18))</f>
        <v>34</v>
      </c>
      <c r="F18" s="9" t="n">
        <f aca="false">IF($A18="","",E18-D18)</f>
        <v>-2</v>
      </c>
      <c r="G18" s="10" t="n">
        <f aca="false">IF($A18="","",IF(D18=0,"n/a",F18/ABS(D18)))</f>
        <v>-0.0555555555555556</v>
      </c>
      <c r="H18" s="11" t="str">
        <f aca="false">IF($A18="","",IF(F18=0,"-",IF((C18="매출")=(F18&gt;0),"유리","불리")))</f>
        <v>유리</v>
      </c>
      <c r="I18" s="9" t="n">
        <f aca="false">IF($A18="","",SUMPRODUCT((예산!$A$5:$A$204=$A18)*(COLUMN(예산!$D$4:$O$4)-COLUMN(예산!$D$4)+1&lt;=설정!$B$4)*예산!$D$5:$O$204))</f>
        <v>311</v>
      </c>
      <c r="J18" s="9" t="n">
        <f aca="false">IF($A18="","",SUMPRODUCT((실적!$A$5:$A$204=$A18)*(COLUMN(실적!$D$4:$O$4)-COLUMN(실적!$D$4)+1&lt;=설정!$B$4)*실적!$D$5:$O$204))</f>
        <v>309</v>
      </c>
      <c r="K18" s="9" t="n">
        <f aca="false">IF($A18="","",J18-I18)</f>
        <v>-2</v>
      </c>
      <c r="L18" s="10" t="n">
        <f aca="false">IF($A18="","",IF(I18=0,"n/a",K18/ABS(I18)))</f>
        <v>-0.00643086816720257</v>
      </c>
      <c r="M18" s="11" t="str">
        <f aca="false">IF($A18="","",IF(K18=0,"-",IF((C18="매출")=(K18&gt;0),"유리","불리")))</f>
        <v>유리</v>
      </c>
      <c r="N18" s="18" t="str">
        <f aca="false">IF($A18="","",IF(AND(ABS(F18)&gt;=설정!$B$5,OR(D18=0,ABS(IF(D18=0,0,F18/D18))&gt;=설정!$B$6)),"●",""))</f>
        <v/>
      </c>
      <c r="O18" s="31"/>
      <c r="P18" s="44" t="str">
        <f aca="false">IF($A18="","",IF(N18="","",B18&amp;": 당월 실적 "&amp;TEXT(E18,"#,##0")&amp;설정!$B$7&amp;"으로 예산 대비 "&amp;TEXT(ABS(F18),"#,##0")&amp;설정!$B$7&amp;"("&amp;IF(D18=0,"예산 없음",TEXT(ABS(G18),"0.0%"))&amp;") "&amp;IF(C18="매출",IF(F18&gt;0,"상회","하회"),IF(F18&gt;0,"초과","절감"))&amp;" ["&amp;H18&amp;"]. 원인: "&amp;IF(O18="","___",O18)))</f>
        <v/>
      </c>
      <c r="Q18" s="45" t="n">
        <f aca="false">IF($A18="","",IF(N18="●",ABS(F18)+ROW()/1000000,0))</f>
        <v>0</v>
      </c>
    </row>
    <row r="19" customFormat="false" ht="15" hidden="false" customHeight="false" outlineLevel="0" collapsed="false">
      <c r="A19" s="43" t="n">
        <f aca="false">IF(예산!A19="","",예산!A19)</f>
        <v>6100</v>
      </c>
      <c r="B19" s="43" t="str">
        <f aca="false">IF(예산!B19="","",예산!B19)</f>
        <v>운반비</v>
      </c>
      <c r="C19" s="43" t="str">
        <f aca="false">IF(예산!C19="","",예산!C19)</f>
        <v>비용</v>
      </c>
      <c r="D19" s="9" t="n">
        <f aca="false">IF($A19="","",SUMIFS(INDEX(예산!$D$5:$O$204,0,설정!$B$4),예산!$A$5:$A$204,$A19))</f>
        <v>26</v>
      </c>
      <c r="E19" s="9" t="n">
        <f aca="false">IF($A19="","",SUMIFS(INDEX(실적!$D$5:$O$204,0,설정!$B$4),실적!$A$5:$A$204,$A19))</f>
        <v>25</v>
      </c>
      <c r="F19" s="9" t="n">
        <f aca="false">IF($A19="","",E19-D19)</f>
        <v>-1</v>
      </c>
      <c r="G19" s="10" t="n">
        <f aca="false">IF($A19="","",IF(D19=0,"n/a",F19/ABS(D19)))</f>
        <v>-0.0384615384615385</v>
      </c>
      <c r="H19" s="11" t="str">
        <f aca="false">IF($A19="","",IF(F19=0,"-",IF((C19="매출")=(F19&gt;0),"유리","불리")))</f>
        <v>유리</v>
      </c>
      <c r="I19" s="9" t="n">
        <f aca="false">IF($A19="","",SUMPRODUCT((예산!$A$5:$A$204=$A19)*(COLUMN(예산!$D$4:$O$4)-COLUMN(예산!$D$4)+1&lt;=설정!$B$4)*예산!$D$5:$O$204))</f>
        <v>221</v>
      </c>
      <c r="J19" s="9" t="n">
        <f aca="false">IF($A19="","",SUMPRODUCT((실적!$A$5:$A$204=$A19)*(COLUMN(실적!$D$4:$O$4)-COLUMN(실적!$D$4)+1&lt;=설정!$B$4)*실적!$D$5:$O$204))</f>
        <v>213</v>
      </c>
      <c r="K19" s="9" t="n">
        <f aca="false">IF($A19="","",J19-I19)</f>
        <v>-8</v>
      </c>
      <c r="L19" s="10" t="n">
        <f aca="false">IF($A19="","",IF(I19=0,"n/a",K19/ABS(I19)))</f>
        <v>-0.0361990950226244</v>
      </c>
      <c r="M19" s="11" t="str">
        <f aca="false">IF($A19="","",IF(K19=0,"-",IF((C19="매출")=(K19&gt;0),"유리","불리")))</f>
        <v>유리</v>
      </c>
      <c r="N19" s="18" t="str">
        <f aca="false">IF($A19="","",IF(AND(ABS(F19)&gt;=설정!$B$5,OR(D19=0,ABS(IF(D19=0,0,F19/D19))&gt;=설정!$B$6)),"●",""))</f>
        <v/>
      </c>
      <c r="O19" s="31"/>
      <c r="P19" s="44" t="str">
        <f aca="false">IF($A19="","",IF(N19="","",B19&amp;": 당월 실적 "&amp;TEXT(E19,"#,##0")&amp;설정!$B$7&amp;"으로 예산 대비 "&amp;TEXT(ABS(F19),"#,##0")&amp;설정!$B$7&amp;"("&amp;IF(D19=0,"예산 없음",TEXT(ABS(G19),"0.0%"))&amp;") "&amp;IF(C19="매출",IF(F19&gt;0,"상회","하회"),IF(F19&gt;0,"초과","절감"))&amp;" ["&amp;H19&amp;"]. 원인: "&amp;IF(O19="","___",O19)))</f>
        <v/>
      </c>
      <c r="Q19" s="45" t="n">
        <f aca="false">IF($A19="","",IF(N19="●",ABS(F19)+ROW()/1000000,0))</f>
        <v>0</v>
      </c>
    </row>
    <row r="20" customFormat="false" ht="15" hidden="false" customHeight="false" outlineLevel="0" collapsed="false">
      <c r="A20" s="43" t="n">
        <f aca="false">IF(예산!A20="","",예산!A20)</f>
        <v>6110</v>
      </c>
      <c r="B20" s="43" t="str">
        <f aca="false">IF(예산!B20="","",예산!B20)</f>
        <v>연구개발비</v>
      </c>
      <c r="C20" s="43" t="str">
        <f aca="false">IF(예산!C20="","",예산!C20)</f>
        <v>비용</v>
      </c>
      <c r="D20" s="9" t="n">
        <f aca="false">IF($A20="","",SUMIFS(INDEX(예산!$D$5:$O$204,0,설정!$B$4),예산!$A$5:$A$204,$A20))</f>
        <v>82</v>
      </c>
      <c r="E20" s="9" t="n">
        <f aca="false">IF($A20="","",SUMIFS(INDEX(실적!$D$5:$O$204,0,설정!$B$4),실적!$A$5:$A$204,$A20))</f>
        <v>57</v>
      </c>
      <c r="F20" s="9" t="n">
        <f aca="false">IF($A20="","",E20-D20)</f>
        <v>-25</v>
      </c>
      <c r="G20" s="10" t="n">
        <f aca="false">IF($A20="","",IF(D20=0,"n/a",F20/ABS(D20)))</f>
        <v>-0.304878048780488</v>
      </c>
      <c r="H20" s="11" t="str">
        <f aca="false">IF($A20="","",IF(F20=0,"-",IF((C20="매출")=(F20&gt;0),"유리","불리")))</f>
        <v>유리</v>
      </c>
      <c r="I20" s="9" t="n">
        <f aca="false">IF($A20="","",SUMPRODUCT((예산!$A$5:$A$204=$A20)*(COLUMN(예산!$D$4:$O$4)-COLUMN(예산!$D$4)+1&lt;=설정!$B$4)*예산!$D$5:$O$204))</f>
        <v>710</v>
      </c>
      <c r="J20" s="9" t="n">
        <f aca="false">IF($A20="","",SUMPRODUCT((실적!$A$5:$A$204=$A20)*(COLUMN(실적!$D$4:$O$4)-COLUMN(실적!$D$4)+1&lt;=설정!$B$4)*실적!$D$5:$O$204))</f>
        <v>680</v>
      </c>
      <c r="K20" s="9" t="n">
        <f aca="false">IF($A20="","",J20-I20)</f>
        <v>-30</v>
      </c>
      <c r="L20" s="10" t="n">
        <f aca="false">IF($A20="","",IF(I20=0,"n/a",K20/ABS(I20)))</f>
        <v>-0.0422535211267606</v>
      </c>
      <c r="M20" s="11" t="str">
        <f aca="false">IF($A20="","",IF(K20=0,"-",IF((C20="매출")=(K20&gt;0),"유리","불리")))</f>
        <v>유리</v>
      </c>
      <c r="N20" s="18" t="str">
        <f aca="false">IF($A20="","",IF(AND(ABS(F20)&gt;=설정!$B$5,OR(D20=0,ABS(IF(D20=0,0,F20/D20))&gt;=설정!$B$6)),"●",""))</f>
        <v/>
      </c>
      <c r="O20" s="31"/>
      <c r="P20" s="44" t="str">
        <f aca="false">IF($A20="","",IF(N20="","",B20&amp;": 당월 실적 "&amp;TEXT(E20,"#,##0")&amp;설정!$B$7&amp;"으로 예산 대비 "&amp;TEXT(ABS(F20),"#,##0")&amp;설정!$B$7&amp;"("&amp;IF(D20=0,"예산 없음",TEXT(ABS(G20),"0.0%"))&amp;") "&amp;IF(C20="매출",IF(F20&gt;0,"상회","하회"),IF(F20&gt;0,"초과","절감"))&amp;" ["&amp;H20&amp;"]. 원인: "&amp;IF(O20="","___",O20)))</f>
        <v/>
      </c>
      <c r="Q20" s="45" t="n">
        <f aca="false">IF($A20="","",IF(N20="●",ABS(F20)+ROW()/1000000,0))</f>
        <v>0</v>
      </c>
    </row>
    <row r="21" customFormat="false" ht="15" hidden="false" customHeight="false" outlineLevel="0" collapsed="false">
      <c r="A21" s="43" t="str">
        <f aca="false">IF(예산!A21="","",예산!A21)</f>
        <v/>
      </c>
      <c r="B21" s="43" t="str">
        <f aca="false">IF(예산!B21="","",예산!B21)</f>
        <v/>
      </c>
      <c r="C21" s="43" t="str">
        <f aca="false">IF(예산!C21="","",예산!C21)</f>
        <v/>
      </c>
      <c r="D21" s="9" t="str">
        <f aca="false">IF($A21="","",SUMIFS(INDEX(예산!$D$5:$O$204,0,설정!$B$4),예산!$A$5:$A$204,$A21))</f>
        <v/>
      </c>
      <c r="E21" s="9" t="str">
        <f aca="false">IF($A21="","",SUMIFS(INDEX(실적!$D$5:$O$204,0,설정!$B$4),실적!$A$5:$A$204,$A21))</f>
        <v/>
      </c>
      <c r="F21" s="9" t="str">
        <f aca="false">IF($A21="","",E21-D21)</f>
        <v/>
      </c>
      <c r="G21" s="10" t="str">
        <f aca="false">IF($A21="","",IF(D21=0,"n/a",F21/ABS(D21)))</f>
        <v/>
      </c>
      <c r="H21" s="11" t="str">
        <f aca="false">IF($A21="","",IF(F21=0,"-",IF((C21="매출")=(F21&gt;0),"유리","불리")))</f>
        <v/>
      </c>
      <c r="I21" s="9" t="str">
        <f aca="false">IF($A21="","",SUMPRODUCT((예산!$A$5:$A$204=$A21)*(COLUMN(예산!$D$4:$O$4)-COLUMN(예산!$D$4)+1&lt;=설정!$B$4)*예산!$D$5:$O$204))</f>
        <v/>
      </c>
      <c r="J21" s="9" t="str">
        <f aca="false">IF($A21="","",SUMPRODUCT((실적!$A$5:$A$204=$A21)*(COLUMN(실적!$D$4:$O$4)-COLUMN(실적!$D$4)+1&lt;=설정!$B$4)*실적!$D$5:$O$204))</f>
        <v/>
      </c>
      <c r="K21" s="9" t="str">
        <f aca="false">IF($A21="","",J21-I21)</f>
        <v/>
      </c>
      <c r="L21" s="10" t="str">
        <f aca="false">IF($A21="","",IF(I21=0,"n/a",K21/ABS(I21)))</f>
        <v/>
      </c>
      <c r="M21" s="11" t="str">
        <f aca="false">IF($A21="","",IF(K21=0,"-",IF((C21="매출")=(K21&gt;0),"유리","불리")))</f>
        <v/>
      </c>
      <c r="N21" s="18" t="str">
        <f aca="false">IF($A21="","",IF(AND(ABS(F21)&gt;=설정!$B$5,OR(D21=0,ABS(IF(D21=0,0,F21/D21))&gt;=설정!$B$6)),"●",""))</f>
        <v/>
      </c>
      <c r="O21" s="31"/>
      <c r="P21" s="44" t="str">
        <f aca="false">IF($A21="","",IF(N21="","",B21&amp;": 당월 실적 "&amp;TEXT(E21,"#,##0")&amp;설정!$B$7&amp;"으로 예산 대비 "&amp;TEXT(ABS(F21),"#,##0")&amp;설정!$B$7&amp;"("&amp;IF(D21=0,"예산 없음",TEXT(ABS(G21),"0.0%"))&amp;") "&amp;IF(C21="매출",IF(F21&gt;0,"상회","하회"),IF(F21&gt;0,"초과","절감"))&amp;" ["&amp;H21&amp;"]. 원인: "&amp;IF(O21="","___",O21)))</f>
        <v/>
      </c>
      <c r="Q21" s="45" t="str">
        <f aca="false">IF($A21="","",IF(N21="●",ABS(F21)+ROW()/1000000,0))</f>
        <v/>
      </c>
    </row>
    <row r="22" customFormat="false" ht="15" hidden="false" customHeight="false" outlineLevel="0" collapsed="false">
      <c r="A22" s="43" t="str">
        <f aca="false">IF(예산!A22="","",예산!A22)</f>
        <v/>
      </c>
      <c r="B22" s="43" t="str">
        <f aca="false">IF(예산!B22="","",예산!B22)</f>
        <v/>
      </c>
      <c r="C22" s="43" t="str">
        <f aca="false">IF(예산!C22="","",예산!C22)</f>
        <v/>
      </c>
      <c r="D22" s="9" t="str">
        <f aca="false">IF($A22="","",SUMIFS(INDEX(예산!$D$5:$O$204,0,설정!$B$4),예산!$A$5:$A$204,$A22))</f>
        <v/>
      </c>
      <c r="E22" s="9" t="str">
        <f aca="false">IF($A22="","",SUMIFS(INDEX(실적!$D$5:$O$204,0,설정!$B$4),실적!$A$5:$A$204,$A22))</f>
        <v/>
      </c>
      <c r="F22" s="9" t="str">
        <f aca="false">IF($A22="","",E22-D22)</f>
        <v/>
      </c>
      <c r="G22" s="10" t="str">
        <f aca="false">IF($A22="","",IF(D22=0,"n/a",F22/ABS(D22)))</f>
        <v/>
      </c>
      <c r="H22" s="11" t="str">
        <f aca="false">IF($A22="","",IF(F22=0,"-",IF((C22="매출")=(F22&gt;0),"유리","불리")))</f>
        <v/>
      </c>
      <c r="I22" s="9" t="str">
        <f aca="false">IF($A22="","",SUMPRODUCT((예산!$A$5:$A$204=$A22)*(COLUMN(예산!$D$4:$O$4)-COLUMN(예산!$D$4)+1&lt;=설정!$B$4)*예산!$D$5:$O$204))</f>
        <v/>
      </c>
      <c r="J22" s="9" t="str">
        <f aca="false">IF($A22="","",SUMPRODUCT((실적!$A$5:$A$204=$A22)*(COLUMN(실적!$D$4:$O$4)-COLUMN(실적!$D$4)+1&lt;=설정!$B$4)*실적!$D$5:$O$204))</f>
        <v/>
      </c>
      <c r="K22" s="9" t="str">
        <f aca="false">IF($A22="","",J22-I22)</f>
        <v/>
      </c>
      <c r="L22" s="10" t="str">
        <f aca="false">IF($A22="","",IF(I22=0,"n/a",K22/ABS(I22)))</f>
        <v/>
      </c>
      <c r="M22" s="11" t="str">
        <f aca="false">IF($A22="","",IF(K22=0,"-",IF((C22="매출")=(K22&gt;0),"유리","불리")))</f>
        <v/>
      </c>
      <c r="N22" s="18" t="str">
        <f aca="false">IF($A22="","",IF(AND(ABS(F22)&gt;=설정!$B$5,OR(D22=0,ABS(IF(D22=0,0,F22/D22))&gt;=설정!$B$6)),"●",""))</f>
        <v/>
      </c>
      <c r="O22" s="31"/>
      <c r="P22" s="44" t="str">
        <f aca="false">IF($A22="","",IF(N22="","",B22&amp;": 당월 실적 "&amp;TEXT(E22,"#,##0")&amp;설정!$B$7&amp;"으로 예산 대비 "&amp;TEXT(ABS(F22),"#,##0")&amp;설정!$B$7&amp;"("&amp;IF(D22=0,"예산 없음",TEXT(ABS(G22),"0.0%"))&amp;") "&amp;IF(C22="매출",IF(F22&gt;0,"상회","하회"),IF(F22&gt;0,"초과","절감"))&amp;" ["&amp;H22&amp;"]. 원인: "&amp;IF(O22="","___",O22)))</f>
        <v/>
      </c>
      <c r="Q22" s="45" t="str">
        <f aca="false">IF($A22="","",IF(N22="●",ABS(F22)+ROW()/1000000,0))</f>
        <v/>
      </c>
    </row>
    <row r="23" customFormat="false" ht="15" hidden="false" customHeight="false" outlineLevel="0" collapsed="false">
      <c r="A23" s="43" t="str">
        <f aca="false">IF(예산!A23="","",예산!A23)</f>
        <v/>
      </c>
      <c r="B23" s="43" t="str">
        <f aca="false">IF(예산!B23="","",예산!B23)</f>
        <v/>
      </c>
      <c r="C23" s="43" t="str">
        <f aca="false">IF(예산!C23="","",예산!C23)</f>
        <v/>
      </c>
      <c r="D23" s="9" t="str">
        <f aca="false">IF($A23="","",SUMIFS(INDEX(예산!$D$5:$O$204,0,설정!$B$4),예산!$A$5:$A$204,$A23))</f>
        <v/>
      </c>
      <c r="E23" s="9" t="str">
        <f aca="false">IF($A23="","",SUMIFS(INDEX(실적!$D$5:$O$204,0,설정!$B$4),실적!$A$5:$A$204,$A23))</f>
        <v/>
      </c>
      <c r="F23" s="9" t="str">
        <f aca="false">IF($A23="","",E23-D23)</f>
        <v/>
      </c>
      <c r="G23" s="10" t="str">
        <f aca="false">IF($A23="","",IF(D23=0,"n/a",F23/ABS(D23)))</f>
        <v/>
      </c>
      <c r="H23" s="11" t="str">
        <f aca="false">IF($A23="","",IF(F23=0,"-",IF((C23="매출")=(F23&gt;0),"유리","불리")))</f>
        <v/>
      </c>
      <c r="I23" s="9" t="str">
        <f aca="false">IF($A23="","",SUMPRODUCT((예산!$A$5:$A$204=$A23)*(COLUMN(예산!$D$4:$O$4)-COLUMN(예산!$D$4)+1&lt;=설정!$B$4)*예산!$D$5:$O$204))</f>
        <v/>
      </c>
      <c r="J23" s="9" t="str">
        <f aca="false">IF($A23="","",SUMPRODUCT((실적!$A$5:$A$204=$A23)*(COLUMN(실적!$D$4:$O$4)-COLUMN(실적!$D$4)+1&lt;=설정!$B$4)*실적!$D$5:$O$204))</f>
        <v/>
      </c>
      <c r="K23" s="9" t="str">
        <f aca="false">IF($A23="","",J23-I23)</f>
        <v/>
      </c>
      <c r="L23" s="10" t="str">
        <f aca="false">IF($A23="","",IF(I23=0,"n/a",K23/ABS(I23)))</f>
        <v/>
      </c>
      <c r="M23" s="11" t="str">
        <f aca="false">IF($A23="","",IF(K23=0,"-",IF((C23="매출")=(K23&gt;0),"유리","불리")))</f>
        <v/>
      </c>
      <c r="N23" s="18" t="str">
        <f aca="false">IF($A23="","",IF(AND(ABS(F23)&gt;=설정!$B$5,OR(D23=0,ABS(IF(D23=0,0,F23/D23))&gt;=설정!$B$6)),"●",""))</f>
        <v/>
      </c>
      <c r="O23" s="31"/>
      <c r="P23" s="44" t="str">
        <f aca="false">IF($A23="","",IF(N23="","",B23&amp;": 당월 실적 "&amp;TEXT(E23,"#,##0")&amp;설정!$B$7&amp;"으로 예산 대비 "&amp;TEXT(ABS(F23),"#,##0")&amp;설정!$B$7&amp;"("&amp;IF(D23=0,"예산 없음",TEXT(ABS(G23),"0.0%"))&amp;") "&amp;IF(C23="매출",IF(F23&gt;0,"상회","하회"),IF(F23&gt;0,"초과","절감"))&amp;" ["&amp;H23&amp;"]. 원인: "&amp;IF(O23="","___",O23)))</f>
        <v/>
      </c>
      <c r="Q23" s="45" t="str">
        <f aca="false">IF($A23="","",IF(N23="●",ABS(F23)+ROW()/1000000,0))</f>
        <v/>
      </c>
    </row>
    <row r="24" customFormat="false" ht="15" hidden="false" customHeight="false" outlineLevel="0" collapsed="false">
      <c r="A24" s="43" t="str">
        <f aca="false">IF(예산!A24="","",예산!A24)</f>
        <v/>
      </c>
      <c r="B24" s="43" t="str">
        <f aca="false">IF(예산!B24="","",예산!B24)</f>
        <v/>
      </c>
      <c r="C24" s="43" t="str">
        <f aca="false">IF(예산!C24="","",예산!C24)</f>
        <v/>
      </c>
      <c r="D24" s="9" t="str">
        <f aca="false">IF($A24="","",SUMIFS(INDEX(예산!$D$5:$O$204,0,설정!$B$4),예산!$A$5:$A$204,$A24))</f>
        <v/>
      </c>
      <c r="E24" s="9" t="str">
        <f aca="false">IF($A24="","",SUMIFS(INDEX(실적!$D$5:$O$204,0,설정!$B$4),실적!$A$5:$A$204,$A24))</f>
        <v/>
      </c>
      <c r="F24" s="9" t="str">
        <f aca="false">IF($A24="","",E24-D24)</f>
        <v/>
      </c>
      <c r="G24" s="10" t="str">
        <f aca="false">IF($A24="","",IF(D24=0,"n/a",F24/ABS(D24)))</f>
        <v/>
      </c>
      <c r="H24" s="11" t="str">
        <f aca="false">IF($A24="","",IF(F24=0,"-",IF((C24="매출")=(F24&gt;0),"유리","불리")))</f>
        <v/>
      </c>
      <c r="I24" s="9" t="str">
        <f aca="false">IF($A24="","",SUMPRODUCT((예산!$A$5:$A$204=$A24)*(COLUMN(예산!$D$4:$O$4)-COLUMN(예산!$D$4)+1&lt;=설정!$B$4)*예산!$D$5:$O$204))</f>
        <v/>
      </c>
      <c r="J24" s="9" t="str">
        <f aca="false">IF($A24="","",SUMPRODUCT((실적!$A$5:$A$204=$A24)*(COLUMN(실적!$D$4:$O$4)-COLUMN(실적!$D$4)+1&lt;=설정!$B$4)*실적!$D$5:$O$204))</f>
        <v/>
      </c>
      <c r="K24" s="9" t="str">
        <f aca="false">IF($A24="","",J24-I24)</f>
        <v/>
      </c>
      <c r="L24" s="10" t="str">
        <f aca="false">IF($A24="","",IF(I24=0,"n/a",K24/ABS(I24)))</f>
        <v/>
      </c>
      <c r="M24" s="11" t="str">
        <f aca="false">IF($A24="","",IF(K24=0,"-",IF((C24="매출")=(K24&gt;0),"유리","불리")))</f>
        <v/>
      </c>
      <c r="N24" s="18" t="str">
        <f aca="false">IF($A24="","",IF(AND(ABS(F24)&gt;=설정!$B$5,OR(D24=0,ABS(IF(D24=0,0,F24/D24))&gt;=설정!$B$6)),"●",""))</f>
        <v/>
      </c>
      <c r="O24" s="31"/>
      <c r="P24" s="44" t="str">
        <f aca="false">IF($A24="","",IF(N24="","",B24&amp;": 당월 실적 "&amp;TEXT(E24,"#,##0")&amp;설정!$B$7&amp;"으로 예산 대비 "&amp;TEXT(ABS(F24),"#,##0")&amp;설정!$B$7&amp;"("&amp;IF(D24=0,"예산 없음",TEXT(ABS(G24),"0.0%"))&amp;") "&amp;IF(C24="매출",IF(F24&gt;0,"상회","하회"),IF(F24&gt;0,"초과","절감"))&amp;" ["&amp;H24&amp;"]. 원인: "&amp;IF(O24="","___",O24)))</f>
        <v/>
      </c>
      <c r="Q24" s="45" t="str">
        <f aca="false">IF($A24="","",IF(N24="●",ABS(F24)+ROW()/1000000,0))</f>
        <v/>
      </c>
    </row>
    <row r="25" customFormat="false" ht="15" hidden="false" customHeight="false" outlineLevel="0" collapsed="false">
      <c r="A25" s="43" t="str">
        <f aca="false">IF(예산!A25="","",예산!A25)</f>
        <v/>
      </c>
      <c r="B25" s="43" t="str">
        <f aca="false">IF(예산!B25="","",예산!B25)</f>
        <v/>
      </c>
      <c r="C25" s="43" t="str">
        <f aca="false">IF(예산!C25="","",예산!C25)</f>
        <v/>
      </c>
      <c r="D25" s="9" t="str">
        <f aca="false">IF($A25="","",SUMIFS(INDEX(예산!$D$5:$O$204,0,설정!$B$4),예산!$A$5:$A$204,$A25))</f>
        <v/>
      </c>
      <c r="E25" s="9" t="str">
        <f aca="false">IF($A25="","",SUMIFS(INDEX(실적!$D$5:$O$204,0,설정!$B$4),실적!$A$5:$A$204,$A25))</f>
        <v/>
      </c>
      <c r="F25" s="9" t="str">
        <f aca="false">IF($A25="","",E25-D25)</f>
        <v/>
      </c>
      <c r="G25" s="10" t="str">
        <f aca="false">IF($A25="","",IF(D25=0,"n/a",F25/ABS(D25)))</f>
        <v/>
      </c>
      <c r="H25" s="11" t="str">
        <f aca="false">IF($A25="","",IF(F25=0,"-",IF((C25="매출")=(F25&gt;0),"유리","불리")))</f>
        <v/>
      </c>
      <c r="I25" s="9" t="str">
        <f aca="false">IF($A25="","",SUMPRODUCT((예산!$A$5:$A$204=$A25)*(COLUMN(예산!$D$4:$O$4)-COLUMN(예산!$D$4)+1&lt;=설정!$B$4)*예산!$D$5:$O$204))</f>
        <v/>
      </c>
      <c r="J25" s="9" t="str">
        <f aca="false">IF($A25="","",SUMPRODUCT((실적!$A$5:$A$204=$A25)*(COLUMN(실적!$D$4:$O$4)-COLUMN(실적!$D$4)+1&lt;=설정!$B$4)*실적!$D$5:$O$204))</f>
        <v/>
      </c>
      <c r="K25" s="9" t="str">
        <f aca="false">IF($A25="","",J25-I25)</f>
        <v/>
      </c>
      <c r="L25" s="10" t="str">
        <f aca="false">IF($A25="","",IF(I25=0,"n/a",K25/ABS(I25)))</f>
        <v/>
      </c>
      <c r="M25" s="11" t="str">
        <f aca="false">IF($A25="","",IF(K25=0,"-",IF((C25="매출")=(K25&gt;0),"유리","불리")))</f>
        <v/>
      </c>
      <c r="N25" s="18" t="str">
        <f aca="false">IF($A25="","",IF(AND(ABS(F25)&gt;=설정!$B$5,OR(D25=0,ABS(IF(D25=0,0,F25/D25))&gt;=설정!$B$6)),"●",""))</f>
        <v/>
      </c>
      <c r="O25" s="31"/>
      <c r="P25" s="44" t="str">
        <f aca="false">IF($A25="","",IF(N25="","",B25&amp;": 당월 실적 "&amp;TEXT(E25,"#,##0")&amp;설정!$B$7&amp;"으로 예산 대비 "&amp;TEXT(ABS(F25),"#,##0")&amp;설정!$B$7&amp;"("&amp;IF(D25=0,"예산 없음",TEXT(ABS(G25),"0.0%"))&amp;") "&amp;IF(C25="매출",IF(F25&gt;0,"상회","하회"),IF(F25&gt;0,"초과","절감"))&amp;" ["&amp;H25&amp;"]. 원인: "&amp;IF(O25="","___",O25)))</f>
        <v/>
      </c>
      <c r="Q25" s="45" t="str">
        <f aca="false">IF($A25="","",IF(N25="●",ABS(F25)+ROW()/1000000,0))</f>
        <v/>
      </c>
    </row>
    <row r="26" customFormat="false" ht="15" hidden="false" customHeight="false" outlineLevel="0" collapsed="false">
      <c r="A26" s="43" t="str">
        <f aca="false">IF(예산!A26="","",예산!A26)</f>
        <v/>
      </c>
      <c r="B26" s="43" t="str">
        <f aca="false">IF(예산!B26="","",예산!B26)</f>
        <v/>
      </c>
      <c r="C26" s="43" t="str">
        <f aca="false">IF(예산!C26="","",예산!C26)</f>
        <v/>
      </c>
      <c r="D26" s="9" t="str">
        <f aca="false">IF($A26="","",SUMIFS(INDEX(예산!$D$5:$O$204,0,설정!$B$4),예산!$A$5:$A$204,$A26))</f>
        <v/>
      </c>
      <c r="E26" s="9" t="str">
        <f aca="false">IF($A26="","",SUMIFS(INDEX(실적!$D$5:$O$204,0,설정!$B$4),실적!$A$5:$A$204,$A26))</f>
        <v/>
      </c>
      <c r="F26" s="9" t="str">
        <f aca="false">IF($A26="","",E26-D26)</f>
        <v/>
      </c>
      <c r="G26" s="10" t="str">
        <f aca="false">IF($A26="","",IF(D26=0,"n/a",F26/ABS(D26)))</f>
        <v/>
      </c>
      <c r="H26" s="11" t="str">
        <f aca="false">IF($A26="","",IF(F26=0,"-",IF((C26="매출")=(F26&gt;0),"유리","불리")))</f>
        <v/>
      </c>
      <c r="I26" s="9" t="str">
        <f aca="false">IF($A26="","",SUMPRODUCT((예산!$A$5:$A$204=$A26)*(COLUMN(예산!$D$4:$O$4)-COLUMN(예산!$D$4)+1&lt;=설정!$B$4)*예산!$D$5:$O$204))</f>
        <v/>
      </c>
      <c r="J26" s="9" t="str">
        <f aca="false">IF($A26="","",SUMPRODUCT((실적!$A$5:$A$204=$A26)*(COLUMN(실적!$D$4:$O$4)-COLUMN(실적!$D$4)+1&lt;=설정!$B$4)*실적!$D$5:$O$204))</f>
        <v/>
      </c>
      <c r="K26" s="9" t="str">
        <f aca="false">IF($A26="","",J26-I26)</f>
        <v/>
      </c>
      <c r="L26" s="10" t="str">
        <f aca="false">IF($A26="","",IF(I26=0,"n/a",K26/ABS(I26)))</f>
        <v/>
      </c>
      <c r="M26" s="11" t="str">
        <f aca="false">IF($A26="","",IF(K26=0,"-",IF((C26="매출")=(K26&gt;0),"유리","불리")))</f>
        <v/>
      </c>
      <c r="N26" s="18" t="str">
        <f aca="false">IF($A26="","",IF(AND(ABS(F26)&gt;=설정!$B$5,OR(D26=0,ABS(IF(D26=0,0,F26/D26))&gt;=설정!$B$6)),"●",""))</f>
        <v/>
      </c>
      <c r="O26" s="31"/>
      <c r="P26" s="44" t="str">
        <f aca="false">IF($A26="","",IF(N26="","",B26&amp;": 당월 실적 "&amp;TEXT(E26,"#,##0")&amp;설정!$B$7&amp;"으로 예산 대비 "&amp;TEXT(ABS(F26),"#,##0")&amp;설정!$B$7&amp;"("&amp;IF(D26=0,"예산 없음",TEXT(ABS(G26),"0.0%"))&amp;") "&amp;IF(C26="매출",IF(F26&gt;0,"상회","하회"),IF(F26&gt;0,"초과","절감"))&amp;" ["&amp;H26&amp;"]. 원인: "&amp;IF(O26="","___",O26)))</f>
        <v/>
      </c>
      <c r="Q26" s="45" t="str">
        <f aca="false">IF($A26="","",IF(N26="●",ABS(F26)+ROW()/1000000,0))</f>
        <v/>
      </c>
    </row>
    <row r="27" customFormat="false" ht="15" hidden="false" customHeight="false" outlineLevel="0" collapsed="false">
      <c r="A27" s="43" t="str">
        <f aca="false">IF(예산!A27="","",예산!A27)</f>
        <v/>
      </c>
      <c r="B27" s="43" t="str">
        <f aca="false">IF(예산!B27="","",예산!B27)</f>
        <v/>
      </c>
      <c r="C27" s="43" t="str">
        <f aca="false">IF(예산!C27="","",예산!C27)</f>
        <v/>
      </c>
      <c r="D27" s="9" t="str">
        <f aca="false">IF($A27="","",SUMIFS(INDEX(예산!$D$5:$O$204,0,설정!$B$4),예산!$A$5:$A$204,$A27))</f>
        <v/>
      </c>
      <c r="E27" s="9" t="str">
        <f aca="false">IF($A27="","",SUMIFS(INDEX(실적!$D$5:$O$204,0,설정!$B$4),실적!$A$5:$A$204,$A27))</f>
        <v/>
      </c>
      <c r="F27" s="9" t="str">
        <f aca="false">IF($A27="","",E27-D27)</f>
        <v/>
      </c>
      <c r="G27" s="10" t="str">
        <f aca="false">IF($A27="","",IF(D27=0,"n/a",F27/ABS(D27)))</f>
        <v/>
      </c>
      <c r="H27" s="11" t="str">
        <f aca="false">IF($A27="","",IF(F27=0,"-",IF((C27="매출")=(F27&gt;0),"유리","불리")))</f>
        <v/>
      </c>
      <c r="I27" s="9" t="str">
        <f aca="false">IF($A27="","",SUMPRODUCT((예산!$A$5:$A$204=$A27)*(COLUMN(예산!$D$4:$O$4)-COLUMN(예산!$D$4)+1&lt;=설정!$B$4)*예산!$D$5:$O$204))</f>
        <v/>
      </c>
      <c r="J27" s="9" t="str">
        <f aca="false">IF($A27="","",SUMPRODUCT((실적!$A$5:$A$204=$A27)*(COLUMN(실적!$D$4:$O$4)-COLUMN(실적!$D$4)+1&lt;=설정!$B$4)*실적!$D$5:$O$204))</f>
        <v/>
      </c>
      <c r="K27" s="9" t="str">
        <f aca="false">IF($A27="","",J27-I27)</f>
        <v/>
      </c>
      <c r="L27" s="10" t="str">
        <f aca="false">IF($A27="","",IF(I27=0,"n/a",K27/ABS(I27)))</f>
        <v/>
      </c>
      <c r="M27" s="11" t="str">
        <f aca="false">IF($A27="","",IF(K27=0,"-",IF((C27="매출")=(K27&gt;0),"유리","불리")))</f>
        <v/>
      </c>
      <c r="N27" s="18" t="str">
        <f aca="false">IF($A27="","",IF(AND(ABS(F27)&gt;=설정!$B$5,OR(D27=0,ABS(IF(D27=0,0,F27/D27))&gt;=설정!$B$6)),"●",""))</f>
        <v/>
      </c>
      <c r="O27" s="31"/>
      <c r="P27" s="44" t="str">
        <f aca="false">IF($A27="","",IF(N27="","",B27&amp;": 당월 실적 "&amp;TEXT(E27,"#,##0")&amp;설정!$B$7&amp;"으로 예산 대비 "&amp;TEXT(ABS(F27),"#,##0")&amp;설정!$B$7&amp;"("&amp;IF(D27=0,"예산 없음",TEXT(ABS(G27),"0.0%"))&amp;") "&amp;IF(C27="매출",IF(F27&gt;0,"상회","하회"),IF(F27&gt;0,"초과","절감"))&amp;" ["&amp;H27&amp;"]. 원인: "&amp;IF(O27="","___",O27)))</f>
        <v/>
      </c>
      <c r="Q27" s="45" t="str">
        <f aca="false">IF($A27="","",IF(N27="●",ABS(F27)+ROW()/1000000,0))</f>
        <v/>
      </c>
    </row>
    <row r="28" customFormat="false" ht="15" hidden="false" customHeight="false" outlineLevel="0" collapsed="false">
      <c r="A28" s="43" t="str">
        <f aca="false">IF(예산!A28="","",예산!A28)</f>
        <v/>
      </c>
      <c r="B28" s="43" t="str">
        <f aca="false">IF(예산!B28="","",예산!B28)</f>
        <v/>
      </c>
      <c r="C28" s="43" t="str">
        <f aca="false">IF(예산!C28="","",예산!C28)</f>
        <v/>
      </c>
      <c r="D28" s="9" t="str">
        <f aca="false">IF($A28="","",SUMIFS(INDEX(예산!$D$5:$O$204,0,설정!$B$4),예산!$A$5:$A$204,$A28))</f>
        <v/>
      </c>
      <c r="E28" s="9" t="str">
        <f aca="false">IF($A28="","",SUMIFS(INDEX(실적!$D$5:$O$204,0,설정!$B$4),실적!$A$5:$A$204,$A28))</f>
        <v/>
      </c>
      <c r="F28" s="9" t="str">
        <f aca="false">IF($A28="","",E28-D28)</f>
        <v/>
      </c>
      <c r="G28" s="10" t="str">
        <f aca="false">IF($A28="","",IF(D28=0,"n/a",F28/ABS(D28)))</f>
        <v/>
      </c>
      <c r="H28" s="11" t="str">
        <f aca="false">IF($A28="","",IF(F28=0,"-",IF((C28="매출")=(F28&gt;0),"유리","불리")))</f>
        <v/>
      </c>
      <c r="I28" s="9" t="str">
        <f aca="false">IF($A28="","",SUMPRODUCT((예산!$A$5:$A$204=$A28)*(COLUMN(예산!$D$4:$O$4)-COLUMN(예산!$D$4)+1&lt;=설정!$B$4)*예산!$D$5:$O$204))</f>
        <v/>
      </c>
      <c r="J28" s="9" t="str">
        <f aca="false">IF($A28="","",SUMPRODUCT((실적!$A$5:$A$204=$A28)*(COLUMN(실적!$D$4:$O$4)-COLUMN(실적!$D$4)+1&lt;=설정!$B$4)*실적!$D$5:$O$204))</f>
        <v/>
      </c>
      <c r="K28" s="9" t="str">
        <f aca="false">IF($A28="","",J28-I28)</f>
        <v/>
      </c>
      <c r="L28" s="10" t="str">
        <f aca="false">IF($A28="","",IF(I28=0,"n/a",K28/ABS(I28)))</f>
        <v/>
      </c>
      <c r="M28" s="11" t="str">
        <f aca="false">IF($A28="","",IF(K28=0,"-",IF((C28="매출")=(K28&gt;0),"유리","불리")))</f>
        <v/>
      </c>
      <c r="N28" s="18" t="str">
        <f aca="false">IF($A28="","",IF(AND(ABS(F28)&gt;=설정!$B$5,OR(D28=0,ABS(IF(D28=0,0,F28/D28))&gt;=설정!$B$6)),"●",""))</f>
        <v/>
      </c>
      <c r="O28" s="31"/>
      <c r="P28" s="44" t="str">
        <f aca="false">IF($A28="","",IF(N28="","",B28&amp;": 당월 실적 "&amp;TEXT(E28,"#,##0")&amp;설정!$B$7&amp;"으로 예산 대비 "&amp;TEXT(ABS(F28),"#,##0")&amp;설정!$B$7&amp;"("&amp;IF(D28=0,"예산 없음",TEXT(ABS(G28),"0.0%"))&amp;") "&amp;IF(C28="매출",IF(F28&gt;0,"상회","하회"),IF(F28&gt;0,"초과","절감"))&amp;" ["&amp;H28&amp;"]. 원인: "&amp;IF(O28="","___",O28)))</f>
        <v/>
      </c>
      <c r="Q28" s="45" t="str">
        <f aca="false">IF($A28="","",IF(N28="●",ABS(F28)+ROW()/1000000,0))</f>
        <v/>
      </c>
    </row>
    <row r="29" customFormat="false" ht="15" hidden="false" customHeight="false" outlineLevel="0" collapsed="false">
      <c r="A29" s="43" t="str">
        <f aca="false">IF(예산!A29="","",예산!A29)</f>
        <v/>
      </c>
      <c r="B29" s="43" t="str">
        <f aca="false">IF(예산!B29="","",예산!B29)</f>
        <v/>
      </c>
      <c r="C29" s="43" t="str">
        <f aca="false">IF(예산!C29="","",예산!C29)</f>
        <v/>
      </c>
      <c r="D29" s="9" t="str">
        <f aca="false">IF($A29="","",SUMIFS(INDEX(예산!$D$5:$O$204,0,설정!$B$4),예산!$A$5:$A$204,$A29))</f>
        <v/>
      </c>
      <c r="E29" s="9" t="str">
        <f aca="false">IF($A29="","",SUMIFS(INDEX(실적!$D$5:$O$204,0,설정!$B$4),실적!$A$5:$A$204,$A29))</f>
        <v/>
      </c>
      <c r="F29" s="9" t="str">
        <f aca="false">IF($A29="","",E29-D29)</f>
        <v/>
      </c>
      <c r="G29" s="10" t="str">
        <f aca="false">IF($A29="","",IF(D29=0,"n/a",F29/ABS(D29)))</f>
        <v/>
      </c>
      <c r="H29" s="11" t="str">
        <f aca="false">IF($A29="","",IF(F29=0,"-",IF((C29="매출")=(F29&gt;0),"유리","불리")))</f>
        <v/>
      </c>
      <c r="I29" s="9" t="str">
        <f aca="false">IF($A29="","",SUMPRODUCT((예산!$A$5:$A$204=$A29)*(COLUMN(예산!$D$4:$O$4)-COLUMN(예산!$D$4)+1&lt;=설정!$B$4)*예산!$D$5:$O$204))</f>
        <v/>
      </c>
      <c r="J29" s="9" t="str">
        <f aca="false">IF($A29="","",SUMPRODUCT((실적!$A$5:$A$204=$A29)*(COLUMN(실적!$D$4:$O$4)-COLUMN(실적!$D$4)+1&lt;=설정!$B$4)*실적!$D$5:$O$204))</f>
        <v/>
      </c>
      <c r="K29" s="9" t="str">
        <f aca="false">IF($A29="","",J29-I29)</f>
        <v/>
      </c>
      <c r="L29" s="10" t="str">
        <f aca="false">IF($A29="","",IF(I29=0,"n/a",K29/ABS(I29)))</f>
        <v/>
      </c>
      <c r="M29" s="11" t="str">
        <f aca="false">IF($A29="","",IF(K29=0,"-",IF((C29="매출")=(K29&gt;0),"유리","불리")))</f>
        <v/>
      </c>
      <c r="N29" s="18" t="str">
        <f aca="false">IF($A29="","",IF(AND(ABS(F29)&gt;=설정!$B$5,OR(D29=0,ABS(IF(D29=0,0,F29/D29))&gt;=설정!$B$6)),"●",""))</f>
        <v/>
      </c>
      <c r="O29" s="31"/>
      <c r="P29" s="44" t="str">
        <f aca="false">IF($A29="","",IF(N29="","",B29&amp;": 당월 실적 "&amp;TEXT(E29,"#,##0")&amp;설정!$B$7&amp;"으로 예산 대비 "&amp;TEXT(ABS(F29),"#,##0")&amp;설정!$B$7&amp;"("&amp;IF(D29=0,"예산 없음",TEXT(ABS(G29),"0.0%"))&amp;") "&amp;IF(C29="매출",IF(F29&gt;0,"상회","하회"),IF(F29&gt;0,"초과","절감"))&amp;" ["&amp;H29&amp;"]. 원인: "&amp;IF(O29="","___",O29)))</f>
        <v/>
      </c>
      <c r="Q29" s="45" t="str">
        <f aca="false">IF($A29="","",IF(N29="●",ABS(F29)+ROW()/1000000,0))</f>
        <v/>
      </c>
    </row>
    <row r="30" customFormat="false" ht="15" hidden="false" customHeight="false" outlineLevel="0" collapsed="false">
      <c r="A30" s="43" t="str">
        <f aca="false">IF(예산!A30="","",예산!A30)</f>
        <v/>
      </c>
      <c r="B30" s="43" t="str">
        <f aca="false">IF(예산!B30="","",예산!B30)</f>
        <v/>
      </c>
      <c r="C30" s="43" t="str">
        <f aca="false">IF(예산!C30="","",예산!C30)</f>
        <v/>
      </c>
      <c r="D30" s="9" t="str">
        <f aca="false">IF($A30="","",SUMIFS(INDEX(예산!$D$5:$O$204,0,설정!$B$4),예산!$A$5:$A$204,$A30))</f>
        <v/>
      </c>
      <c r="E30" s="9" t="str">
        <f aca="false">IF($A30="","",SUMIFS(INDEX(실적!$D$5:$O$204,0,설정!$B$4),실적!$A$5:$A$204,$A30))</f>
        <v/>
      </c>
      <c r="F30" s="9" t="str">
        <f aca="false">IF($A30="","",E30-D30)</f>
        <v/>
      </c>
      <c r="G30" s="10" t="str">
        <f aca="false">IF($A30="","",IF(D30=0,"n/a",F30/ABS(D30)))</f>
        <v/>
      </c>
      <c r="H30" s="11" t="str">
        <f aca="false">IF($A30="","",IF(F30=0,"-",IF((C30="매출")=(F30&gt;0),"유리","불리")))</f>
        <v/>
      </c>
      <c r="I30" s="9" t="str">
        <f aca="false">IF($A30="","",SUMPRODUCT((예산!$A$5:$A$204=$A30)*(COLUMN(예산!$D$4:$O$4)-COLUMN(예산!$D$4)+1&lt;=설정!$B$4)*예산!$D$5:$O$204))</f>
        <v/>
      </c>
      <c r="J30" s="9" t="str">
        <f aca="false">IF($A30="","",SUMPRODUCT((실적!$A$5:$A$204=$A30)*(COLUMN(실적!$D$4:$O$4)-COLUMN(실적!$D$4)+1&lt;=설정!$B$4)*실적!$D$5:$O$204))</f>
        <v/>
      </c>
      <c r="K30" s="9" t="str">
        <f aca="false">IF($A30="","",J30-I30)</f>
        <v/>
      </c>
      <c r="L30" s="10" t="str">
        <f aca="false">IF($A30="","",IF(I30=0,"n/a",K30/ABS(I30)))</f>
        <v/>
      </c>
      <c r="M30" s="11" t="str">
        <f aca="false">IF($A30="","",IF(K30=0,"-",IF((C30="매출")=(K30&gt;0),"유리","불리")))</f>
        <v/>
      </c>
      <c r="N30" s="18" t="str">
        <f aca="false">IF($A30="","",IF(AND(ABS(F30)&gt;=설정!$B$5,OR(D30=0,ABS(IF(D30=0,0,F30/D30))&gt;=설정!$B$6)),"●",""))</f>
        <v/>
      </c>
      <c r="O30" s="31"/>
      <c r="P30" s="44" t="str">
        <f aca="false">IF($A30="","",IF(N30="","",B30&amp;": 당월 실적 "&amp;TEXT(E30,"#,##0")&amp;설정!$B$7&amp;"으로 예산 대비 "&amp;TEXT(ABS(F30),"#,##0")&amp;설정!$B$7&amp;"("&amp;IF(D30=0,"예산 없음",TEXT(ABS(G30),"0.0%"))&amp;") "&amp;IF(C30="매출",IF(F30&gt;0,"상회","하회"),IF(F30&gt;0,"초과","절감"))&amp;" ["&amp;H30&amp;"]. 원인: "&amp;IF(O30="","___",O30)))</f>
        <v/>
      </c>
      <c r="Q30" s="45" t="str">
        <f aca="false">IF($A30="","",IF(N30="●",ABS(F30)+ROW()/1000000,0))</f>
        <v/>
      </c>
    </row>
    <row r="31" customFormat="false" ht="15" hidden="false" customHeight="false" outlineLevel="0" collapsed="false">
      <c r="A31" s="43" t="str">
        <f aca="false">IF(예산!A31="","",예산!A31)</f>
        <v/>
      </c>
      <c r="B31" s="43" t="str">
        <f aca="false">IF(예산!B31="","",예산!B31)</f>
        <v/>
      </c>
      <c r="C31" s="43" t="str">
        <f aca="false">IF(예산!C31="","",예산!C31)</f>
        <v/>
      </c>
      <c r="D31" s="9" t="str">
        <f aca="false">IF($A31="","",SUMIFS(INDEX(예산!$D$5:$O$204,0,설정!$B$4),예산!$A$5:$A$204,$A31))</f>
        <v/>
      </c>
      <c r="E31" s="9" t="str">
        <f aca="false">IF($A31="","",SUMIFS(INDEX(실적!$D$5:$O$204,0,설정!$B$4),실적!$A$5:$A$204,$A31))</f>
        <v/>
      </c>
      <c r="F31" s="9" t="str">
        <f aca="false">IF($A31="","",E31-D31)</f>
        <v/>
      </c>
      <c r="G31" s="10" t="str">
        <f aca="false">IF($A31="","",IF(D31=0,"n/a",F31/ABS(D31)))</f>
        <v/>
      </c>
      <c r="H31" s="11" t="str">
        <f aca="false">IF($A31="","",IF(F31=0,"-",IF((C31="매출")=(F31&gt;0),"유리","불리")))</f>
        <v/>
      </c>
      <c r="I31" s="9" t="str">
        <f aca="false">IF($A31="","",SUMPRODUCT((예산!$A$5:$A$204=$A31)*(COLUMN(예산!$D$4:$O$4)-COLUMN(예산!$D$4)+1&lt;=설정!$B$4)*예산!$D$5:$O$204))</f>
        <v/>
      </c>
      <c r="J31" s="9" t="str">
        <f aca="false">IF($A31="","",SUMPRODUCT((실적!$A$5:$A$204=$A31)*(COLUMN(실적!$D$4:$O$4)-COLUMN(실적!$D$4)+1&lt;=설정!$B$4)*실적!$D$5:$O$204))</f>
        <v/>
      </c>
      <c r="K31" s="9" t="str">
        <f aca="false">IF($A31="","",J31-I31)</f>
        <v/>
      </c>
      <c r="L31" s="10" t="str">
        <f aca="false">IF($A31="","",IF(I31=0,"n/a",K31/ABS(I31)))</f>
        <v/>
      </c>
      <c r="M31" s="11" t="str">
        <f aca="false">IF($A31="","",IF(K31=0,"-",IF((C31="매출")=(K31&gt;0),"유리","불리")))</f>
        <v/>
      </c>
      <c r="N31" s="18" t="str">
        <f aca="false">IF($A31="","",IF(AND(ABS(F31)&gt;=설정!$B$5,OR(D31=0,ABS(IF(D31=0,0,F31/D31))&gt;=설정!$B$6)),"●",""))</f>
        <v/>
      </c>
      <c r="O31" s="31"/>
      <c r="P31" s="44" t="str">
        <f aca="false">IF($A31="","",IF(N31="","",B31&amp;": 당월 실적 "&amp;TEXT(E31,"#,##0")&amp;설정!$B$7&amp;"으로 예산 대비 "&amp;TEXT(ABS(F31),"#,##0")&amp;설정!$B$7&amp;"("&amp;IF(D31=0,"예산 없음",TEXT(ABS(G31),"0.0%"))&amp;") "&amp;IF(C31="매출",IF(F31&gt;0,"상회","하회"),IF(F31&gt;0,"초과","절감"))&amp;" ["&amp;H31&amp;"]. 원인: "&amp;IF(O31="","___",O31)))</f>
        <v/>
      </c>
      <c r="Q31" s="45" t="str">
        <f aca="false">IF($A31="","",IF(N31="●",ABS(F31)+ROW()/1000000,0))</f>
        <v/>
      </c>
    </row>
    <row r="32" customFormat="false" ht="15" hidden="false" customHeight="false" outlineLevel="0" collapsed="false">
      <c r="A32" s="43" t="str">
        <f aca="false">IF(예산!A32="","",예산!A32)</f>
        <v/>
      </c>
      <c r="B32" s="43" t="str">
        <f aca="false">IF(예산!B32="","",예산!B32)</f>
        <v/>
      </c>
      <c r="C32" s="43" t="str">
        <f aca="false">IF(예산!C32="","",예산!C32)</f>
        <v/>
      </c>
      <c r="D32" s="9" t="str">
        <f aca="false">IF($A32="","",SUMIFS(INDEX(예산!$D$5:$O$204,0,설정!$B$4),예산!$A$5:$A$204,$A32))</f>
        <v/>
      </c>
      <c r="E32" s="9" t="str">
        <f aca="false">IF($A32="","",SUMIFS(INDEX(실적!$D$5:$O$204,0,설정!$B$4),실적!$A$5:$A$204,$A32))</f>
        <v/>
      </c>
      <c r="F32" s="9" t="str">
        <f aca="false">IF($A32="","",E32-D32)</f>
        <v/>
      </c>
      <c r="G32" s="10" t="str">
        <f aca="false">IF($A32="","",IF(D32=0,"n/a",F32/ABS(D32)))</f>
        <v/>
      </c>
      <c r="H32" s="11" t="str">
        <f aca="false">IF($A32="","",IF(F32=0,"-",IF((C32="매출")=(F32&gt;0),"유리","불리")))</f>
        <v/>
      </c>
      <c r="I32" s="9" t="str">
        <f aca="false">IF($A32="","",SUMPRODUCT((예산!$A$5:$A$204=$A32)*(COLUMN(예산!$D$4:$O$4)-COLUMN(예산!$D$4)+1&lt;=설정!$B$4)*예산!$D$5:$O$204))</f>
        <v/>
      </c>
      <c r="J32" s="9" t="str">
        <f aca="false">IF($A32="","",SUMPRODUCT((실적!$A$5:$A$204=$A32)*(COLUMN(실적!$D$4:$O$4)-COLUMN(실적!$D$4)+1&lt;=설정!$B$4)*실적!$D$5:$O$204))</f>
        <v/>
      </c>
      <c r="K32" s="9" t="str">
        <f aca="false">IF($A32="","",J32-I32)</f>
        <v/>
      </c>
      <c r="L32" s="10" t="str">
        <f aca="false">IF($A32="","",IF(I32=0,"n/a",K32/ABS(I32)))</f>
        <v/>
      </c>
      <c r="M32" s="11" t="str">
        <f aca="false">IF($A32="","",IF(K32=0,"-",IF((C32="매출")=(K32&gt;0),"유리","불리")))</f>
        <v/>
      </c>
      <c r="N32" s="18" t="str">
        <f aca="false">IF($A32="","",IF(AND(ABS(F32)&gt;=설정!$B$5,OR(D32=0,ABS(IF(D32=0,0,F32/D32))&gt;=설정!$B$6)),"●",""))</f>
        <v/>
      </c>
      <c r="O32" s="31"/>
      <c r="P32" s="44" t="str">
        <f aca="false">IF($A32="","",IF(N32="","",B32&amp;": 당월 실적 "&amp;TEXT(E32,"#,##0")&amp;설정!$B$7&amp;"으로 예산 대비 "&amp;TEXT(ABS(F32),"#,##0")&amp;설정!$B$7&amp;"("&amp;IF(D32=0,"예산 없음",TEXT(ABS(G32),"0.0%"))&amp;") "&amp;IF(C32="매출",IF(F32&gt;0,"상회","하회"),IF(F32&gt;0,"초과","절감"))&amp;" ["&amp;H32&amp;"]. 원인: "&amp;IF(O32="","___",O32)))</f>
        <v/>
      </c>
      <c r="Q32" s="45" t="str">
        <f aca="false">IF($A32="","",IF(N32="●",ABS(F32)+ROW()/1000000,0))</f>
        <v/>
      </c>
    </row>
    <row r="33" customFormat="false" ht="15" hidden="false" customHeight="false" outlineLevel="0" collapsed="false">
      <c r="A33" s="43" t="str">
        <f aca="false">IF(예산!A33="","",예산!A33)</f>
        <v/>
      </c>
      <c r="B33" s="43" t="str">
        <f aca="false">IF(예산!B33="","",예산!B33)</f>
        <v/>
      </c>
      <c r="C33" s="43" t="str">
        <f aca="false">IF(예산!C33="","",예산!C33)</f>
        <v/>
      </c>
      <c r="D33" s="9" t="str">
        <f aca="false">IF($A33="","",SUMIFS(INDEX(예산!$D$5:$O$204,0,설정!$B$4),예산!$A$5:$A$204,$A33))</f>
        <v/>
      </c>
      <c r="E33" s="9" t="str">
        <f aca="false">IF($A33="","",SUMIFS(INDEX(실적!$D$5:$O$204,0,설정!$B$4),실적!$A$5:$A$204,$A33))</f>
        <v/>
      </c>
      <c r="F33" s="9" t="str">
        <f aca="false">IF($A33="","",E33-D33)</f>
        <v/>
      </c>
      <c r="G33" s="10" t="str">
        <f aca="false">IF($A33="","",IF(D33=0,"n/a",F33/ABS(D33)))</f>
        <v/>
      </c>
      <c r="H33" s="11" t="str">
        <f aca="false">IF($A33="","",IF(F33=0,"-",IF((C33="매출")=(F33&gt;0),"유리","불리")))</f>
        <v/>
      </c>
      <c r="I33" s="9" t="str">
        <f aca="false">IF($A33="","",SUMPRODUCT((예산!$A$5:$A$204=$A33)*(COLUMN(예산!$D$4:$O$4)-COLUMN(예산!$D$4)+1&lt;=설정!$B$4)*예산!$D$5:$O$204))</f>
        <v/>
      </c>
      <c r="J33" s="9" t="str">
        <f aca="false">IF($A33="","",SUMPRODUCT((실적!$A$5:$A$204=$A33)*(COLUMN(실적!$D$4:$O$4)-COLUMN(실적!$D$4)+1&lt;=설정!$B$4)*실적!$D$5:$O$204))</f>
        <v/>
      </c>
      <c r="K33" s="9" t="str">
        <f aca="false">IF($A33="","",J33-I33)</f>
        <v/>
      </c>
      <c r="L33" s="10" t="str">
        <f aca="false">IF($A33="","",IF(I33=0,"n/a",K33/ABS(I33)))</f>
        <v/>
      </c>
      <c r="M33" s="11" t="str">
        <f aca="false">IF($A33="","",IF(K33=0,"-",IF((C33="매출")=(K33&gt;0),"유리","불리")))</f>
        <v/>
      </c>
      <c r="N33" s="18" t="str">
        <f aca="false">IF($A33="","",IF(AND(ABS(F33)&gt;=설정!$B$5,OR(D33=0,ABS(IF(D33=0,0,F33/D33))&gt;=설정!$B$6)),"●",""))</f>
        <v/>
      </c>
      <c r="O33" s="31"/>
      <c r="P33" s="44" t="str">
        <f aca="false">IF($A33="","",IF(N33="","",B33&amp;": 당월 실적 "&amp;TEXT(E33,"#,##0")&amp;설정!$B$7&amp;"으로 예산 대비 "&amp;TEXT(ABS(F33),"#,##0")&amp;설정!$B$7&amp;"("&amp;IF(D33=0,"예산 없음",TEXT(ABS(G33),"0.0%"))&amp;") "&amp;IF(C33="매출",IF(F33&gt;0,"상회","하회"),IF(F33&gt;0,"초과","절감"))&amp;" ["&amp;H33&amp;"]. 원인: "&amp;IF(O33="","___",O33)))</f>
        <v/>
      </c>
      <c r="Q33" s="45" t="str">
        <f aca="false">IF($A33="","",IF(N33="●",ABS(F33)+ROW()/1000000,0))</f>
        <v/>
      </c>
    </row>
    <row r="34" customFormat="false" ht="15" hidden="false" customHeight="false" outlineLevel="0" collapsed="false">
      <c r="A34" s="43" t="str">
        <f aca="false">IF(예산!A34="","",예산!A34)</f>
        <v/>
      </c>
      <c r="B34" s="43" t="str">
        <f aca="false">IF(예산!B34="","",예산!B34)</f>
        <v/>
      </c>
      <c r="C34" s="43" t="str">
        <f aca="false">IF(예산!C34="","",예산!C34)</f>
        <v/>
      </c>
      <c r="D34" s="9" t="str">
        <f aca="false">IF($A34="","",SUMIFS(INDEX(예산!$D$5:$O$204,0,설정!$B$4),예산!$A$5:$A$204,$A34))</f>
        <v/>
      </c>
      <c r="E34" s="9" t="str">
        <f aca="false">IF($A34="","",SUMIFS(INDEX(실적!$D$5:$O$204,0,설정!$B$4),실적!$A$5:$A$204,$A34))</f>
        <v/>
      </c>
      <c r="F34" s="9" t="str">
        <f aca="false">IF($A34="","",E34-D34)</f>
        <v/>
      </c>
      <c r="G34" s="10" t="str">
        <f aca="false">IF($A34="","",IF(D34=0,"n/a",F34/ABS(D34)))</f>
        <v/>
      </c>
      <c r="H34" s="11" t="str">
        <f aca="false">IF($A34="","",IF(F34=0,"-",IF((C34="매출")=(F34&gt;0),"유리","불리")))</f>
        <v/>
      </c>
      <c r="I34" s="9" t="str">
        <f aca="false">IF($A34="","",SUMPRODUCT((예산!$A$5:$A$204=$A34)*(COLUMN(예산!$D$4:$O$4)-COLUMN(예산!$D$4)+1&lt;=설정!$B$4)*예산!$D$5:$O$204))</f>
        <v/>
      </c>
      <c r="J34" s="9" t="str">
        <f aca="false">IF($A34="","",SUMPRODUCT((실적!$A$5:$A$204=$A34)*(COLUMN(실적!$D$4:$O$4)-COLUMN(실적!$D$4)+1&lt;=설정!$B$4)*실적!$D$5:$O$204))</f>
        <v/>
      </c>
      <c r="K34" s="9" t="str">
        <f aca="false">IF($A34="","",J34-I34)</f>
        <v/>
      </c>
      <c r="L34" s="10" t="str">
        <f aca="false">IF($A34="","",IF(I34=0,"n/a",K34/ABS(I34)))</f>
        <v/>
      </c>
      <c r="M34" s="11" t="str">
        <f aca="false">IF($A34="","",IF(K34=0,"-",IF((C34="매출")=(K34&gt;0),"유리","불리")))</f>
        <v/>
      </c>
      <c r="N34" s="18" t="str">
        <f aca="false">IF($A34="","",IF(AND(ABS(F34)&gt;=설정!$B$5,OR(D34=0,ABS(IF(D34=0,0,F34/D34))&gt;=설정!$B$6)),"●",""))</f>
        <v/>
      </c>
      <c r="O34" s="31"/>
      <c r="P34" s="44" t="str">
        <f aca="false">IF($A34="","",IF(N34="","",B34&amp;": 당월 실적 "&amp;TEXT(E34,"#,##0")&amp;설정!$B$7&amp;"으로 예산 대비 "&amp;TEXT(ABS(F34),"#,##0")&amp;설정!$B$7&amp;"("&amp;IF(D34=0,"예산 없음",TEXT(ABS(G34),"0.0%"))&amp;") "&amp;IF(C34="매출",IF(F34&gt;0,"상회","하회"),IF(F34&gt;0,"초과","절감"))&amp;" ["&amp;H34&amp;"]. 원인: "&amp;IF(O34="","___",O34)))</f>
        <v/>
      </c>
      <c r="Q34" s="45" t="str">
        <f aca="false">IF($A34="","",IF(N34="●",ABS(F34)+ROW()/1000000,0))</f>
        <v/>
      </c>
    </row>
    <row r="35" customFormat="false" ht="15" hidden="false" customHeight="false" outlineLevel="0" collapsed="false">
      <c r="A35" s="43" t="str">
        <f aca="false">IF(예산!A35="","",예산!A35)</f>
        <v/>
      </c>
      <c r="B35" s="43" t="str">
        <f aca="false">IF(예산!B35="","",예산!B35)</f>
        <v/>
      </c>
      <c r="C35" s="43" t="str">
        <f aca="false">IF(예산!C35="","",예산!C35)</f>
        <v/>
      </c>
      <c r="D35" s="9" t="str">
        <f aca="false">IF($A35="","",SUMIFS(INDEX(예산!$D$5:$O$204,0,설정!$B$4),예산!$A$5:$A$204,$A35))</f>
        <v/>
      </c>
      <c r="E35" s="9" t="str">
        <f aca="false">IF($A35="","",SUMIFS(INDEX(실적!$D$5:$O$204,0,설정!$B$4),실적!$A$5:$A$204,$A35))</f>
        <v/>
      </c>
      <c r="F35" s="9" t="str">
        <f aca="false">IF($A35="","",E35-D35)</f>
        <v/>
      </c>
      <c r="G35" s="10" t="str">
        <f aca="false">IF($A35="","",IF(D35=0,"n/a",F35/ABS(D35)))</f>
        <v/>
      </c>
      <c r="H35" s="11" t="str">
        <f aca="false">IF($A35="","",IF(F35=0,"-",IF((C35="매출")=(F35&gt;0),"유리","불리")))</f>
        <v/>
      </c>
      <c r="I35" s="9" t="str">
        <f aca="false">IF($A35="","",SUMPRODUCT((예산!$A$5:$A$204=$A35)*(COLUMN(예산!$D$4:$O$4)-COLUMN(예산!$D$4)+1&lt;=설정!$B$4)*예산!$D$5:$O$204))</f>
        <v/>
      </c>
      <c r="J35" s="9" t="str">
        <f aca="false">IF($A35="","",SUMPRODUCT((실적!$A$5:$A$204=$A35)*(COLUMN(실적!$D$4:$O$4)-COLUMN(실적!$D$4)+1&lt;=설정!$B$4)*실적!$D$5:$O$204))</f>
        <v/>
      </c>
      <c r="K35" s="9" t="str">
        <f aca="false">IF($A35="","",J35-I35)</f>
        <v/>
      </c>
      <c r="L35" s="10" t="str">
        <f aca="false">IF($A35="","",IF(I35=0,"n/a",K35/ABS(I35)))</f>
        <v/>
      </c>
      <c r="M35" s="11" t="str">
        <f aca="false">IF($A35="","",IF(K35=0,"-",IF((C35="매출")=(K35&gt;0),"유리","불리")))</f>
        <v/>
      </c>
      <c r="N35" s="18" t="str">
        <f aca="false">IF($A35="","",IF(AND(ABS(F35)&gt;=설정!$B$5,OR(D35=0,ABS(IF(D35=0,0,F35/D35))&gt;=설정!$B$6)),"●",""))</f>
        <v/>
      </c>
      <c r="O35" s="31"/>
      <c r="P35" s="44" t="str">
        <f aca="false">IF($A35="","",IF(N35="","",B35&amp;": 당월 실적 "&amp;TEXT(E35,"#,##0")&amp;설정!$B$7&amp;"으로 예산 대비 "&amp;TEXT(ABS(F35),"#,##0")&amp;설정!$B$7&amp;"("&amp;IF(D35=0,"예산 없음",TEXT(ABS(G35),"0.0%"))&amp;") "&amp;IF(C35="매출",IF(F35&gt;0,"상회","하회"),IF(F35&gt;0,"초과","절감"))&amp;" ["&amp;H35&amp;"]. 원인: "&amp;IF(O35="","___",O35)))</f>
        <v/>
      </c>
      <c r="Q35" s="45" t="str">
        <f aca="false">IF($A35="","",IF(N35="●",ABS(F35)+ROW()/1000000,0))</f>
        <v/>
      </c>
    </row>
    <row r="36" customFormat="false" ht="15" hidden="false" customHeight="false" outlineLevel="0" collapsed="false">
      <c r="A36" s="43" t="str">
        <f aca="false">IF(예산!A36="","",예산!A36)</f>
        <v/>
      </c>
      <c r="B36" s="43" t="str">
        <f aca="false">IF(예산!B36="","",예산!B36)</f>
        <v/>
      </c>
      <c r="C36" s="43" t="str">
        <f aca="false">IF(예산!C36="","",예산!C36)</f>
        <v/>
      </c>
      <c r="D36" s="9" t="str">
        <f aca="false">IF($A36="","",SUMIFS(INDEX(예산!$D$5:$O$204,0,설정!$B$4),예산!$A$5:$A$204,$A36))</f>
        <v/>
      </c>
      <c r="E36" s="9" t="str">
        <f aca="false">IF($A36="","",SUMIFS(INDEX(실적!$D$5:$O$204,0,설정!$B$4),실적!$A$5:$A$204,$A36))</f>
        <v/>
      </c>
      <c r="F36" s="9" t="str">
        <f aca="false">IF($A36="","",E36-D36)</f>
        <v/>
      </c>
      <c r="G36" s="10" t="str">
        <f aca="false">IF($A36="","",IF(D36=0,"n/a",F36/ABS(D36)))</f>
        <v/>
      </c>
      <c r="H36" s="11" t="str">
        <f aca="false">IF($A36="","",IF(F36=0,"-",IF((C36="매출")=(F36&gt;0),"유리","불리")))</f>
        <v/>
      </c>
      <c r="I36" s="9" t="str">
        <f aca="false">IF($A36="","",SUMPRODUCT((예산!$A$5:$A$204=$A36)*(COLUMN(예산!$D$4:$O$4)-COLUMN(예산!$D$4)+1&lt;=설정!$B$4)*예산!$D$5:$O$204))</f>
        <v/>
      </c>
      <c r="J36" s="9" t="str">
        <f aca="false">IF($A36="","",SUMPRODUCT((실적!$A$5:$A$204=$A36)*(COLUMN(실적!$D$4:$O$4)-COLUMN(실적!$D$4)+1&lt;=설정!$B$4)*실적!$D$5:$O$204))</f>
        <v/>
      </c>
      <c r="K36" s="9" t="str">
        <f aca="false">IF($A36="","",J36-I36)</f>
        <v/>
      </c>
      <c r="L36" s="10" t="str">
        <f aca="false">IF($A36="","",IF(I36=0,"n/a",K36/ABS(I36)))</f>
        <v/>
      </c>
      <c r="M36" s="11" t="str">
        <f aca="false">IF($A36="","",IF(K36=0,"-",IF((C36="매출")=(K36&gt;0),"유리","불리")))</f>
        <v/>
      </c>
      <c r="N36" s="18" t="str">
        <f aca="false">IF($A36="","",IF(AND(ABS(F36)&gt;=설정!$B$5,OR(D36=0,ABS(IF(D36=0,0,F36/D36))&gt;=설정!$B$6)),"●",""))</f>
        <v/>
      </c>
      <c r="O36" s="31"/>
      <c r="P36" s="44" t="str">
        <f aca="false">IF($A36="","",IF(N36="","",B36&amp;": 당월 실적 "&amp;TEXT(E36,"#,##0")&amp;설정!$B$7&amp;"으로 예산 대비 "&amp;TEXT(ABS(F36),"#,##0")&amp;설정!$B$7&amp;"("&amp;IF(D36=0,"예산 없음",TEXT(ABS(G36),"0.0%"))&amp;") "&amp;IF(C36="매출",IF(F36&gt;0,"상회","하회"),IF(F36&gt;0,"초과","절감"))&amp;" ["&amp;H36&amp;"]. 원인: "&amp;IF(O36="","___",O36)))</f>
        <v/>
      </c>
      <c r="Q36" s="45" t="str">
        <f aca="false">IF($A36="","",IF(N36="●",ABS(F36)+ROW()/1000000,0))</f>
        <v/>
      </c>
    </row>
    <row r="37" customFormat="false" ht="15" hidden="false" customHeight="false" outlineLevel="0" collapsed="false">
      <c r="A37" s="43" t="str">
        <f aca="false">IF(예산!A37="","",예산!A37)</f>
        <v/>
      </c>
      <c r="B37" s="43" t="str">
        <f aca="false">IF(예산!B37="","",예산!B37)</f>
        <v/>
      </c>
      <c r="C37" s="43" t="str">
        <f aca="false">IF(예산!C37="","",예산!C37)</f>
        <v/>
      </c>
      <c r="D37" s="9" t="str">
        <f aca="false">IF($A37="","",SUMIFS(INDEX(예산!$D$5:$O$204,0,설정!$B$4),예산!$A$5:$A$204,$A37))</f>
        <v/>
      </c>
      <c r="E37" s="9" t="str">
        <f aca="false">IF($A37="","",SUMIFS(INDEX(실적!$D$5:$O$204,0,설정!$B$4),실적!$A$5:$A$204,$A37))</f>
        <v/>
      </c>
      <c r="F37" s="9" t="str">
        <f aca="false">IF($A37="","",E37-D37)</f>
        <v/>
      </c>
      <c r="G37" s="10" t="str">
        <f aca="false">IF($A37="","",IF(D37=0,"n/a",F37/ABS(D37)))</f>
        <v/>
      </c>
      <c r="H37" s="11" t="str">
        <f aca="false">IF($A37="","",IF(F37=0,"-",IF((C37="매출")=(F37&gt;0),"유리","불리")))</f>
        <v/>
      </c>
      <c r="I37" s="9" t="str">
        <f aca="false">IF($A37="","",SUMPRODUCT((예산!$A$5:$A$204=$A37)*(COLUMN(예산!$D$4:$O$4)-COLUMN(예산!$D$4)+1&lt;=설정!$B$4)*예산!$D$5:$O$204))</f>
        <v/>
      </c>
      <c r="J37" s="9" t="str">
        <f aca="false">IF($A37="","",SUMPRODUCT((실적!$A$5:$A$204=$A37)*(COLUMN(실적!$D$4:$O$4)-COLUMN(실적!$D$4)+1&lt;=설정!$B$4)*실적!$D$5:$O$204))</f>
        <v/>
      </c>
      <c r="K37" s="9" t="str">
        <f aca="false">IF($A37="","",J37-I37)</f>
        <v/>
      </c>
      <c r="L37" s="10" t="str">
        <f aca="false">IF($A37="","",IF(I37=0,"n/a",K37/ABS(I37)))</f>
        <v/>
      </c>
      <c r="M37" s="11" t="str">
        <f aca="false">IF($A37="","",IF(K37=0,"-",IF((C37="매출")=(K37&gt;0),"유리","불리")))</f>
        <v/>
      </c>
      <c r="N37" s="18" t="str">
        <f aca="false">IF($A37="","",IF(AND(ABS(F37)&gt;=설정!$B$5,OR(D37=0,ABS(IF(D37=0,0,F37/D37))&gt;=설정!$B$6)),"●",""))</f>
        <v/>
      </c>
      <c r="O37" s="31"/>
      <c r="P37" s="44" t="str">
        <f aca="false">IF($A37="","",IF(N37="","",B37&amp;": 당월 실적 "&amp;TEXT(E37,"#,##0")&amp;설정!$B$7&amp;"으로 예산 대비 "&amp;TEXT(ABS(F37),"#,##0")&amp;설정!$B$7&amp;"("&amp;IF(D37=0,"예산 없음",TEXT(ABS(G37),"0.0%"))&amp;") "&amp;IF(C37="매출",IF(F37&gt;0,"상회","하회"),IF(F37&gt;0,"초과","절감"))&amp;" ["&amp;H37&amp;"]. 원인: "&amp;IF(O37="","___",O37)))</f>
        <v/>
      </c>
      <c r="Q37" s="45" t="str">
        <f aca="false">IF($A37="","",IF(N37="●",ABS(F37)+ROW()/1000000,0))</f>
        <v/>
      </c>
    </row>
    <row r="38" customFormat="false" ht="15" hidden="false" customHeight="false" outlineLevel="0" collapsed="false">
      <c r="A38" s="43" t="str">
        <f aca="false">IF(예산!A38="","",예산!A38)</f>
        <v/>
      </c>
      <c r="B38" s="43" t="str">
        <f aca="false">IF(예산!B38="","",예산!B38)</f>
        <v/>
      </c>
      <c r="C38" s="43" t="str">
        <f aca="false">IF(예산!C38="","",예산!C38)</f>
        <v/>
      </c>
      <c r="D38" s="9" t="str">
        <f aca="false">IF($A38="","",SUMIFS(INDEX(예산!$D$5:$O$204,0,설정!$B$4),예산!$A$5:$A$204,$A38))</f>
        <v/>
      </c>
      <c r="E38" s="9" t="str">
        <f aca="false">IF($A38="","",SUMIFS(INDEX(실적!$D$5:$O$204,0,설정!$B$4),실적!$A$5:$A$204,$A38))</f>
        <v/>
      </c>
      <c r="F38" s="9" t="str">
        <f aca="false">IF($A38="","",E38-D38)</f>
        <v/>
      </c>
      <c r="G38" s="10" t="str">
        <f aca="false">IF($A38="","",IF(D38=0,"n/a",F38/ABS(D38)))</f>
        <v/>
      </c>
      <c r="H38" s="11" t="str">
        <f aca="false">IF($A38="","",IF(F38=0,"-",IF((C38="매출")=(F38&gt;0),"유리","불리")))</f>
        <v/>
      </c>
      <c r="I38" s="9" t="str">
        <f aca="false">IF($A38="","",SUMPRODUCT((예산!$A$5:$A$204=$A38)*(COLUMN(예산!$D$4:$O$4)-COLUMN(예산!$D$4)+1&lt;=설정!$B$4)*예산!$D$5:$O$204))</f>
        <v/>
      </c>
      <c r="J38" s="9" t="str">
        <f aca="false">IF($A38="","",SUMPRODUCT((실적!$A$5:$A$204=$A38)*(COLUMN(실적!$D$4:$O$4)-COLUMN(실적!$D$4)+1&lt;=설정!$B$4)*실적!$D$5:$O$204))</f>
        <v/>
      </c>
      <c r="K38" s="9" t="str">
        <f aca="false">IF($A38="","",J38-I38)</f>
        <v/>
      </c>
      <c r="L38" s="10" t="str">
        <f aca="false">IF($A38="","",IF(I38=0,"n/a",K38/ABS(I38)))</f>
        <v/>
      </c>
      <c r="M38" s="11" t="str">
        <f aca="false">IF($A38="","",IF(K38=0,"-",IF((C38="매출")=(K38&gt;0),"유리","불리")))</f>
        <v/>
      </c>
      <c r="N38" s="18" t="str">
        <f aca="false">IF($A38="","",IF(AND(ABS(F38)&gt;=설정!$B$5,OR(D38=0,ABS(IF(D38=0,0,F38/D38))&gt;=설정!$B$6)),"●",""))</f>
        <v/>
      </c>
      <c r="O38" s="31"/>
      <c r="P38" s="44" t="str">
        <f aca="false">IF($A38="","",IF(N38="","",B38&amp;": 당월 실적 "&amp;TEXT(E38,"#,##0")&amp;설정!$B$7&amp;"으로 예산 대비 "&amp;TEXT(ABS(F38),"#,##0")&amp;설정!$B$7&amp;"("&amp;IF(D38=0,"예산 없음",TEXT(ABS(G38),"0.0%"))&amp;") "&amp;IF(C38="매출",IF(F38&gt;0,"상회","하회"),IF(F38&gt;0,"초과","절감"))&amp;" ["&amp;H38&amp;"]. 원인: "&amp;IF(O38="","___",O38)))</f>
        <v/>
      </c>
      <c r="Q38" s="45" t="str">
        <f aca="false">IF($A38="","",IF(N38="●",ABS(F38)+ROW()/1000000,0))</f>
        <v/>
      </c>
    </row>
    <row r="39" customFormat="false" ht="15" hidden="false" customHeight="false" outlineLevel="0" collapsed="false">
      <c r="A39" s="43" t="str">
        <f aca="false">IF(예산!A39="","",예산!A39)</f>
        <v/>
      </c>
      <c r="B39" s="43" t="str">
        <f aca="false">IF(예산!B39="","",예산!B39)</f>
        <v/>
      </c>
      <c r="C39" s="43" t="str">
        <f aca="false">IF(예산!C39="","",예산!C39)</f>
        <v/>
      </c>
      <c r="D39" s="9" t="str">
        <f aca="false">IF($A39="","",SUMIFS(INDEX(예산!$D$5:$O$204,0,설정!$B$4),예산!$A$5:$A$204,$A39))</f>
        <v/>
      </c>
      <c r="E39" s="9" t="str">
        <f aca="false">IF($A39="","",SUMIFS(INDEX(실적!$D$5:$O$204,0,설정!$B$4),실적!$A$5:$A$204,$A39))</f>
        <v/>
      </c>
      <c r="F39" s="9" t="str">
        <f aca="false">IF($A39="","",E39-D39)</f>
        <v/>
      </c>
      <c r="G39" s="10" t="str">
        <f aca="false">IF($A39="","",IF(D39=0,"n/a",F39/ABS(D39)))</f>
        <v/>
      </c>
      <c r="H39" s="11" t="str">
        <f aca="false">IF($A39="","",IF(F39=0,"-",IF((C39="매출")=(F39&gt;0),"유리","불리")))</f>
        <v/>
      </c>
      <c r="I39" s="9" t="str">
        <f aca="false">IF($A39="","",SUMPRODUCT((예산!$A$5:$A$204=$A39)*(COLUMN(예산!$D$4:$O$4)-COLUMN(예산!$D$4)+1&lt;=설정!$B$4)*예산!$D$5:$O$204))</f>
        <v/>
      </c>
      <c r="J39" s="9" t="str">
        <f aca="false">IF($A39="","",SUMPRODUCT((실적!$A$5:$A$204=$A39)*(COLUMN(실적!$D$4:$O$4)-COLUMN(실적!$D$4)+1&lt;=설정!$B$4)*실적!$D$5:$O$204))</f>
        <v/>
      </c>
      <c r="K39" s="9" t="str">
        <f aca="false">IF($A39="","",J39-I39)</f>
        <v/>
      </c>
      <c r="L39" s="10" t="str">
        <f aca="false">IF($A39="","",IF(I39=0,"n/a",K39/ABS(I39)))</f>
        <v/>
      </c>
      <c r="M39" s="11" t="str">
        <f aca="false">IF($A39="","",IF(K39=0,"-",IF((C39="매출")=(K39&gt;0),"유리","불리")))</f>
        <v/>
      </c>
      <c r="N39" s="18" t="str">
        <f aca="false">IF($A39="","",IF(AND(ABS(F39)&gt;=설정!$B$5,OR(D39=0,ABS(IF(D39=0,0,F39/D39))&gt;=설정!$B$6)),"●",""))</f>
        <v/>
      </c>
      <c r="O39" s="31"/>
      <c r="P39" s="44" t="str">
        <f aca="false">IF($A39="","",IF(N39="","",B39&amp;": 당월 실적 "&amp;TEXT(E39,"#,##0")&amp;설정!$B$7&amp;"으로 예산 대비 "&amp;TEXT(ABS(F39),"#,##0")&amp;설정!$B$7&amp;"("&amp;IF(D39=0,"예산 없음",TEXT(ABS(G39),"0.0%"))&amp;") "&amp;IF(C39="매출",IF(F39&gt;0,"상회","하회"),IF(F39&gt;0,"초과","절감"))&amp;" ["&amp;H39&amp;"]. 원인: "&amp;IF(O39="","___",O39)))</f>
        <v/>
      </c>
      <c r="Q39" s="45" t="str">
        <f aca="false">IF($A39="","",IF(N39="●",ABS(F39)+ROW()/1000000,0))</f>
        <v/>
      </c>
    </row>
    <row r="40" customFormat="false" ht="15" hidden="false" customHeight="false" outlineLevel="0" collapsed="false">
      <c r="A40" s="43" t="str">
        <f aca="false">IF(예산!A40="","",예산!A40)</f>
        <v/>
      </c>
      <c r="B40" s="43" t="str">
        <f aca="false">IF(예산!B40="","",예산!B40)</f>
        <v/>
      </c>
      <c r="C40" s="43" t="str">
        <f aca="false">IF(예산!C40="","",예산!C40)</f>
        <v/>
      </c>
      <c r="D40" s="9" t="str">
        <f aca="false">IF($A40="","",SUMIFS(INDEX(예산!$D$5:$O$204,0,설정!$B$4),예산!$A$5:$A$204,$A40))</f>
        <v/>
      </c>
      <c r="E40" s="9" t="str">
        <f aca="false">IF($A40="","",SUMIFS(INDEX(실적!$D$5:$O$204,0,설정!$B$4),실적!$A$5:$A$204,$A40))</f>
        <v/>
      </c>
      <c r="F40" s="9" t="str">
        <f aca="false">IF($A40="","",E40-D40)</f>
        <v/>
      </c>
      <c r="G40" s="10" t="str">
        <f aca="false">IF($A40="","",IF(D40=0,"n/a",F40/ABS(D40)))</f>
        <v/>
      </c>
      <c r="H40" s="11" t="str">
        <f aca="false">IF($A40="","",IF(F40=0,"-",IF((C40="매출")=(F40&gt;0),"유리","불리")))</f>
        <v/>
      </c>
      <c r="I40" s="9" t="str">
        <f aca="false">IF($A40="","",SUMPRODUCT((예산!$A$5:$A$204=$A40)*(COLUMN(예산!$D$4:$O$4)-COLUMN(예산!$D$4)+1&lt;=설정!$B$4)*예산!$D$5:$O$204))</f>
        <v/>
      </c>
      <c r="J40" s="9" t="str">
        <f aca="false">IF($A40="","",SUMPRODUCT((실적!$A$5:$A$204=$A40)*(COLUMN(실적!$D$4:$O$4)-COLUMN(실적!$D$4)+1&lt;=설정!$B$4)*실적!$D$5:$O$204))</f>
        <v/>
      </c>
      <c r="K40" s="9" t="str">
        <f aca="false">IF($A40="","",J40-I40)</f>
        <v/>
      </c>
      <c r="L40" s="10" t="str">
        <f aca="false">IF($A40="","",IF(I40=0,"n/a",K40/ABS(I40)))</f>
        <v/>
      </c>
      <c r="M40" s="11" t="str">
        <f aca="false">IF($A40="","",IF(K40=0,"-",IF((C40="매출")=(K40&gt;0),"유리","불리")))</f>
        <v/>
      </c>
      <c r="N40" s="18" t="str">
        <f aca="false">IF($A40="","",IF(AND(ABS(F40)&gt;=설정!$B$5,OR(D40=0,ABS(IF(D40=0,0,F40/D40))&gt;=설정!$B$6)),"●",""))</f>
        <v/>
      </c>
      <c r="O40" s="31"/>
      <c r="P40" s="44" t="str">
        <f aca="false">IF($A40="","",IF(N40="","",B40&amp;": 당월 실적 "&amp;TEXT(E40,"#,##0")&amp;설정!$B$7&amp;"으로 예산 대비 "&amp;TEXT(ABS(F40),"#,##0")&amp;설정!$B$7&amp;"("&amp;IF(D40=0,"예산 없음",TEXT(ABS(G40),"0.0%"))&amp;") "&amp;IF(C40="매출",IF(F40&gt;0,"상회","하회"),IF(F40&gt;0,"초과","절감"))&amp;" ["&amp;H40&amp;"]. 원인: "&amp;IF(O40="","___",O40)))</f>
        <v/>
      </c>
      <c r="Q40" s="45" t="str">
        <f aca="false">IF($A40="","",IF(N40="●",ABS(F40)+ROW()/1000000,0))</f>
        <v/>
      </c>
    </row>
    <row r="41" customFormat="false" ht="15" hidden="false" customHeight="false" outlineLevel="0" collapsed="false">
      <c r="A41" s="43" t="str">
        <f aca="false">IF(예산!A41="","",예산!A41)</f>
        <v/>
      </c>
      <c r="B41" s="43" t="str">
        <f aca="false">IF(예산!B41="","",예산!B41)</f>
        <v/>
      </c>
      <c r="C41" s="43" t="str">
        <f aca="false">IF(예산!C41="","",예산!C41)</f>
        <v/>
      </c>
      <c r="D41" s="9" t="str">
        <f aca="false">IF($A41="","",SUMIFS(INDEX(예산!$D$5:$O$204,0,설정!$B$4),예산!$A$5:$A$204,$A41))</f>
        <v/>
      </c>
      <c r="E41" s="9" t="str">
        <f aca="false">IF($A41="","",SUMIFS(INDEX(실적!$D$5:$O$204,0,설정!$B$4),실적!$A$5:$A$204,$A41))</f>
        <v/>
      </c>
      <c r="F41" s="9" t="str">
        <f aca="false">IF($A41="","",E41-D41)</f>
        <v/>
      </c>
      <c r="G41" s="10" t="str">
        <f aca="false">IF($A41="","",IF(D41=0,"n/a",F41/ABS(D41)))</f>
        <v/>
      </c>
      <c r="H41" s="11" t="str">
        <f aca="false">IF($A41="","",IF(F41=0,"-",IF((C41="매출")=(F41&gt;0),"유리","불리")))</f>
        <v/>
      </c>
      <c r="I41" s="9" t="str">
        <f aca="false">IF($A41="","",SUMPRODUCT((예산!$A$5:$A$204=$A41)*(COLUMN(예산!$D$4:$O$4)-COLUMN(예산!$D$4)+1&lt;=설정!$B$4)*예산!$D$5:$O$204))</f>
        <v/>
      </c>
      <c r="J41" s="9" t="str">
        <f aca="false">IF($A41="","",SUMPRODUCT((실적!$A$5:$A$204=$A41)*(COLUMN(실적!$D$4:$O$4)-COLUMN(실적!$D$4)+1&lt;=설정!$B$4)*실적!$D$5:$O$204))</f>
        <v/>
      </c>
      <c r="K41" s="9" t="str">
        <f aca="false">IF($A41="","",J41-I41)</f>
        <v/>
      </c>
      <c r="L41" s="10" t="str">
        <f aca="false">IF($A41="","",IF(I41=0,"n/a",K41/ABS(I41)))</f>
        <v/>
      </c>
      <c r="M41" s="11" t="str">
        <f aca="false">IF($A41="","",IF(K41=0,"-",IF((C41="매출")=(K41&gt;0),"유리","불리")))</f>
        <v/>
      </c>
      <c r="N41" s="18" t="str">
        <f aca="false">IF($A41="","",IF(AND(ABS(F41)&gt;=설정!$B$5,OR(D41=0,ABS(IF(D41=0,0,F41/D41))&gt;=설정!$B$6)),"●",""))</f>
        <v/>
      </c>
      <c r="O41" s="31"/>
      <c r="P41" s="44" t="str">
        <f aca="false">IF($A41="","",IF(N41="","",B41&amp;": 당월 실적 "&amp;TEXT(E41,"#,##0")&amp;설정!$B$7&amp;"으로 예산 대비 "&amp;TEXT(ABS(F41),"#,##0")&amp;설정!$B$7&amp;"("&amp;IF(D41=0,"예산 없음",TEXT(ABS(G41),"0.0%"))&amp;") "&amp;IF(C41="매출",IF(F41&gt;0,"상회","하회"),IF(F41&gt;0,"초과","절감"))&amp;" ["&amp;H41&amp;"]. 원인: "&amp;IF(O41="","___",O41)))</f>
        <v/>
      </c>
      <c r="Q41" s="45" t="str">
        <f aca="false">IF($A41="","",IF(N41="●",ABS(F41)+ROW()/1000000,0))</f>
        <v/>
      </c>
    </row>
    <row r="42" customFormat="false" ht="15" hidden="false" customHeight="false" outlineLevel="0" collapsed="false">
      <c r="A42" s="43" t="str">
        <f aca="false">IF(예산!A42="","",예산!A42)</f>
        <v/>
      </c>
      <c r="B42" s="43" t="str">
        <f aca="false">IF(예산!B42="","",예산!B42)</f>
        <v/>
      </c>
      <c r="C42" s="43" t="str">
        <f aca="false">IF(예산!C42="","",예산!C42)</f>
        <v/>
      </c>
      <c r="D42" s="9" t="str">
        <f aca="false">IF($A42="","",SUMIFS(INDEX(예산!$D$5:$O$204,0,설정!$B$4),예산!$A$5:$A$204,$A42))</f>
        <v/>
      </c>
      <c r="E42" s="9" t="str">
        <f aca="false">IF($A42="","",SUMIFS(INDEX(실적!$D$5:$O$204,0,설정!$B$4),실적!$A$5:$A$204,$A42))</f>
        <v/>
      </c>
      <c r="F42" s="9" t="str">
        <f aca="false">IF($A42="","",E42-D42)</f>
        <v/>
      </c>
      <c r="G42" s="10" t="str">
        <f aca="false">IF($A42="","",IF(D42=0,"n/a",F42/ABS(D42)))</f>
        <v/>
      </c>
      <c r="H42" s="11" t="str">
        <f aca="false">IF($A42="","",IF(F42=0,"-",IF((C42="매출")=(F42&gt;0),"유리","불리")))</f>
        <v/>
      </c>
      <c r="I42" s="9" t="str">
        <f aca="false">IF($A42="","",SUMPRODUCT((예산!$A$5:$A$204=$A42)*(COLUMN(예산!$D$4:$O$4)-COLUMN(예산!$D$4)+1&lt;=설정!$B$4)*예산!$D$5:$O$204))</f>
        <v/>
      </c>
      <c r="J42" s="9" t="str">
        <f aca="false">IF($A42="","",SUMPRODUCT((실적!$A$5:$A$204=$A42)*(COLUMN(실적!$D$4:$O$4)-COLUMN(실적!$D$4)+1&lt;=설정!$B$4)*실적!$D$5:$O$204))</f>
        <v/>
      </c>
      <c r="K42" s="9" t="str">
        <f aca="false">IF($A42="","",J42-I42)</f>
        <v/>
      </c>
      <c r="L42" s="10" t="str">
        <f aca="false">IF($A42="","",IF(I42=0,"n/a",K42/ABS(I42)))</f>
        <v/>
      </c>
      <c r="M42" s="11" t="str">
        <f aca="false">IF($A42="","",IF(K42=0,"-",IF((C42="매출")=(K42&gt;0),"유리","불리")))</f>
        <v/>
      </c>
      <c r="N42" s="18" t="str">
        <f aca="false">IF($A42="","",IF(AND(ABS(F42)&gt;=설정!$B$5,OR(D42=0,ABS(IF(D42=0,0,F42/D42))&gt;=설정!$B$6)),"●",""))</f>
        <v/>
      </c>
      <c r="O42" s="31"/>
      <c r="P42" s="44" t="str">
        <f aca="false">IF($A42="","",IF(N42="","",B42&amp;": 당월 실적 "&amp;TEXT(E42,"#,##0")&amp;설정!$B$7&amp;"으로 예산 대비 "&amp;TEXT(ABS(F42),"#,##0")&amp;설정!$B$7&amp;"("&amp;IF(D42=0,"예산 없음",TEXT(ABS(G42),"0.0%"))&amp;") "&amp;IF(C42="매출",IF(F42&gt;0,"상회","하회"),IF(F42&gt;0,"초과","절감"))&amp;" ["&amp;H42&amp;"]. 원인: "&amp;IF(O42="","___",O42)))</f>
        <v/>
      </c>
      <c r="Q42" s="45" t="str">
        <f aca="false">IF($A42="","",IF(N42="●",ABS(F42)+ROW()/1000000,0))</f>
        <v/>
      </c>
    </row>
    <row r="43" customFormat="false" ht="15" hidden="false" customHeight="false" outlineLevel="0" collapsed="false">
      <c r="A43" s="43" t="str">
        <f aca="false">IF(예산!A43="","",예산!A43)</f>
        <v/>
      </c>
      <c r="B43" s="43" t="str">
        <f aca="false">IF(예산!B43="","",예산!B43)</f>
        <v/>
      </c>
      <c r="C43" s="43" t="str">
        <f aca="false">IF(예산!C43="","",예산!C43)</f>
        <v/>
      </c>
      <c r="D43" s="9" t="str">
        <f aca="false">IF($A43="","",SUMIFS(INDEX(예산!$D$5:$O$204,0,설정!$B$4),예산!$A$5:$A$204,$A43))</f>
        <v/>
      </c>
      <c r="E43" s="9" t="str">
        <f aca="false">IF($A43="","",SUMIFS(INDEX(실적!$D$5:$O$204,0,설정!$B$4),실적!$A$5:$A$204,$A43))</f>
        <v/>
      </c>
      <c r="F43" s="9" t="str">
        <f aca="false">IF($A43="","",E43-D43)</f>
        <v/>
      </c>
      <c r="G43" s="10" t="str">
        <f aca="false">IF($A43="","",IF(D43=0,"n/a",F43/ABS(D43)))</f>
        <v/>
      </c>
      <c r="H43" s="11" t="str">
        <f aca="false">IF($A43="","",IF(F43=0,"-",IF((C43="매출")=(F43&gt;0),"유리","불리")))</f>
        <v/>
      </c>
      <c r="I43" s="9" t="str">
        <f aca="false">IF($A43="","",SUMPRODUCT((예산!$A$5:$A$204=$A43)*(COLUMN(예산!$D$4:$O$4)-COLUMN(예산!$D$4)+1&lt;=설정!$B$4)*예산!$D$5:$O$204))</f>
        <v/>
      </c>
      <c r="J43" s="9" t="str">
        <f aca="false">IF($A43="","",SUMPRODUCT((실적!$A$5:$A$204=$A43)*(COLUMN(실적!$D$4:$O$4)-COLUMN(실적!$D$4)+1&lt;=설정!$B$4)*실적!$D$5:$O$204))</f>
        <v/>
      </c>
      <c r="K43" s="9" t="str">
        <f aca="false">IF($A43="","",J43-I43)</f>
        <v/>
      </c>
      <c r="L43" s="10" t="str">
        <f aca="false">IF($A43="","",IF(I43=0,"n/a",K43/ABS(I43)))</f>
        <v/>
      </c>
      <c r="M43" s="11" t="str">
        <f aca="false">IF($A43="","",IF(K43=0,"-",IF((C43="매출")=(K43&gt;0),"유리","불리")))</f>
        <v/>
      </c>
      <c r="N43" s="18" t="str">
        <f aca="false">IF($A43="","",IF(AND(ABS(F43)&gt;=설정!$B$5,OR(D43=0,ABS(IF(D43=0,0,F43/D43))&gt;=설정!$B$6)),"●",""))</f>
        <v/>
      </c>
      <c r="O43" s="31"/>
      <c r="P43" s="44" t="str">
        <f aca="false">IF($A43="","",IF(N43="","",B43&amp;": 당월 실적 "&amp;TEXT(E43,"#,##0")&amp;설정!$B$7&amp;"으로 예산 대비 "&amp;TEXT(ABS(F43),"#,##0")&amp;설정!$B$7&amp;"("&amp;IF(D43=0,"예산 없음",TEXT(ABS(G43),"0.0%"))&amp;") "&amp;IF(C43="매출",IF(F43&gt;0,"상회","하회"),IF(F43&gt;0,"초과","절감"))&amp;" ["&amp;H43&amp;"]. 원인: "&amp;IF(O43="","___",O43)))</f>
        <v/>
      </c>
      <c r="Q43" s="45" t="str">
        <f aca="false">IF($A43="","",IF(N43="●",ABS(F43)+ROW()/1000000,0))</f>
        <v/>
      </c>
    </row>
    <row r="44" customFormat="false" ht="15" hidden="false" customHeight="false" outlineLevel="0" collapsed="false">
      <c r="A44" s="43" t="str">
        <f aca="false">IF(예산!A44="","",예산!A44)</f>
        <v/>
      </c>
      <c r="B44" s="43" t="str">
        <f aca="false">IF(예산!B44="","",예산!B44)</f>
        <v/>
      </c>
      <c r="C44" s="43" t="str">
        <f aca="false">IF(예산!C44="","",예산!C44)</f>
        <v/>
      </c>
      <c r="D44" s="9" t="str">
        <f aca="false">IF($A44="","",SUMIFS(INDEX(예산!$D$5:$O$204,0,설정!$B$4),예산!$A$5:$A$204,$A44))</f>
        <v/>
      </c>
      <c r="E44" s="9" t="str">
        <f aca="false">IF($A44="","",SUMIFS(INDEX(실적!$D$5:$O$204,0,설정!$B$4),실적!$A$5:$A$204,$A44))</f>
        <v/>
      </c>
      <c r="F44" s="9" t="str">
        <f aca="false">IF($A44="","",E44-D44)</f>
        <v/>
      </c>
      <c r="G44" s="10" t="str">
        <f aca="false">IF($A44="","",IF(D44=0,"n/a",F44/ABS(D44)))</f>
        <v/>
      </c>
      <c r="H44" s="11" t="str">
        <f aca="false">IF($A44="","",IF(F44=0,"-",IF((C44="매출")=(F44&gt;0),"유리","불리")))</f>
        <v/>
      </c>
      <c r="I44" s="9" t="str">
        <f aca="false">IF($A44="","",SUMPRODUCT((예산!$A$5:$A$204=$A44)*(COLUMN(예산!$D$4:$O$4)-COLUMN(예산!$D$4)+1&lt;=설정!$B$4)*예산!$D$5:$O$204))</f>
        <v/>
      </c>
      <c r="J44" s="9" t="str">
        <f aca="false">IF($A44="","",SUMPRODUCT((실적!$A$5:$A$204=$A44)*(COLUMN(실적!$D$4:$O$4)-COLUMN(실적!$D$4)+1&lt;=설정!$B$4)*실적!$D$5:$O$204))</f>
        <v/>
      </c>
      <c r="K44" s="9" t="str">
        <f aca="false">IF($A44="","",J44-I44)</f>
        <v/>
      </c>
      <c r="L44" s="10" t="str">
        <f aca="false">IF($A44="","",IF(I44=0,"n/a",K44/ABS(I44)))</f>
        <v/>
      </c>
      <c r="M44" s="11" t="str">
        <f aca="false">IF($A44="","",IF(K44=0,"-",IF((C44="매출")=(K44&gt;0),"유리","불리")))</f>
        <v/>
      </c>
      <c r="N44" s="18" t="str">
        <f aca="false">IF($A44="","",IF(AND(ABS(F44)&gt;=설정!$B$5,OR(D44=0,ABS(IF(D44=0,0,F44/D44))&gt;=설정!$B$6)),"●",""))</f>
        <v/>
      </c>
      <c r="O44" s="31"/>
      <c r="P44" s="44" t="str">
        <f aca="false">IF($A44="","",IF(N44="","",B44&amp;": 당월 실적 "&amp;TEXT(E44,"#,##0")&amp;설정!$B$7&amp;"으로 예산 대비 "&amp;TEXT(ABS(F44),"#,##0")&amp;설정!$B$7&amp;"("&amp;IF(D44=0,"예산 없음",TEXT(ABS(G44),"0.0%"))&amp;") "&amp;IF(C44="매출",IF(F44&gt;0,"상회","하회"),IF(F44&gt;0,"초과","절감"))&amp;" ["&amp;H44&amp;"]. 원인: "&amp;IF(O44="","___",O44)))</f>
        <v/>
      </c>
      <c r="Q44" s="45" t="str">
        <f aca="false">IF($A44="","",IF(N44="●",ABS(F44)+ROW()/1000000,0))</f>
        <v/>
      </c>
    </row>
    <row r="45" customFormat="false" ht="15" hidden="false" customHeight="false" outlineLevel="0" collapsed="false">
      <c r="A45" s="43" t="str">
        <f aca="false">IF(예산!A45="","",예산!A45)</f>
        <v/>
      </c>
      <c r="B45" s="43" t="str">
        <f aca="false">IF(예산!B45="","",예산!B45)</f>
        <v/>
      </c>
      <c r="C45" s="43" t="str">
        <f aca="false">IF(예산!C45="","",예산!C45)</f>
        <v/>
      </c>
      <c r="D45" s="9" t="str">
        <f aca="false">IF($A45="","",SUMIFS(INDEX(예산!$D$5:$O$204,0,설정!$B$4),예산!$A$5:$A$204,$A45))</f>
        <v/>
      </c>
      <c r="E45" s="9" t="str">
        <f aca="false">IF($A45="","",SUMIFS(INDEX(실적!$D$5:$O$204,0,설정!$B$4),실적!$A$5:$A$204,$A45))</f>
        <v/>
      </c>
      <c r="F45" s="9" t="str">
        <f aca="false">IF($A45="","",E45-D45)</f>
        <v/>
      </c>
      <c r="G45" s="10" t="str">
        <f aca="false">IF($A45="","",IF(D45=0,"n/a",F45/ABS(D45)))</f>
        <v/>
      </c>
      <c r="H45" s="11" t="str">
        <f aca="false">IF($A45="","",IF(F45=0,"-",IF((C45="매출")=(F45&gt;0),"유리","불리")))</f>
        <v/>
      </c>
      <c r="I45" s="9" t="str">
        <f aca="false">IF($A45="","",SUMPRODUCT((예산!$A$5:$A$204=$A45)*(COLUMN(예산!$D$4:$O$4)-COLUMN(예산!$D$4)+1&lt;=설정!$B$4)*예산!$D$5:$O$204))</f>
        <v/>
      </c>
      <c r="J45" s="9" t="str">
        <f aca="false">IF($A45="","",SUMPRODUCT((실적!$A$5:$A$204=$A45)*(COLUMN(실적!$D$4:$O$4)-COLUMN(실적!$D$4)+1&lt;=설정!$B$4)*실적!$D$5:$O$204))</f>
        <v/>
      </c>
      <c r="K45" s="9" t="str">
        <f aca="false">IF($A45="","",J45-I45)</f>
        <v/>
      </c>
      <c r="L45" s="10" t="str">
        <f aca="false">IF($A45="","",IF(I45=0,"n/a",K45/ABS(I45)))</f>
        <v/>
      </c>
      <c r="M45" s="11" t="str">
        <f aca="false">IF($A45="","",IF(K45=0,"-",IF((C45="매출")=(K45&gt;0),"유리","불리")))</f>
        <v/>
      </c>
      <c r="N45" s="18" t="str">
        <f aca="false">IF($A45="","",IF(AND(ABS(F45)&gt;=설정!$B$5,OR(D45=0,ABS(IF(D45=0,0,F45/D45))&gt;=설정!$B$6)),"●",""))</f>
        <v/>
      </c>
      <c r="O45" s="31"/>
      <c r="P45" s="44" t="str">
        <f aca="false">IF($A45="","",IF(N45="","",B45&amp;": 당월 실적 "&amp;TEXT(E45,"#,##0")&amp;설정!$B$7&amp;"으로 예산 대비 "&amp;TEXT(ABS(F45),"#,##0")&amp;설정!$B$7&amp;"("&amp;IF(D45=0,"예산 없음",TEXT(ABS(G45),"0.0%"))&amp;") "&amp;IF(C45="매출",IF(F45&gt;0,"상회","하회"),IF(F45&gt;0,"초과","절감"))&amp;" ["&amp;H45&amp;"]. 원인: "&amp;IF(O45="","___",O45)))</f>
        <v/>
      </c>
      <c r="Q45" s="45" t="str">
        <f aca="false">IF($A45="","",IF(N45="●",ABS(F45)+ROW()/1000000,0))</f>
        <v/>
      </c>
    </row>
    <row r="46" customFormat="false" ht="15" hidden="false" customHeight="false" outlineLevel="0" collapsed="false">
      <c r="A46" s="43" t="str">
        <f aca="false">IF(예산!A46="","",예산!A46)</f>
        <v/>
      </c>
      <c r="B46" s="43" t="str">
        <f aca="false">IF(예산!B46="","",예산!B46)</f>
        <v/>
      </c>
      <c r="C46" s="43" t="str">
        <f aca="false">IF(예산!C46="","",예산!C46)</f>
        <v/>
      </c>
      <c r="D46" s="9" t="str">
        <f aca="false">IF($A46="","",SUMIFS(INDEX(예산!$D$5:$O$204,0,설정!$B$4),예산!$A$5:$A$204,$A46))</f>
        <v/>
      </c>
      <c r="E46" s="9" t="str">
        <f aca="false">IF($A46="","",SUMIFS(INDEX(실적!$D$5:$O$204,0,설정!$B$4),실적!$A$5:$A$204,$A46))</f>
        <v/>
      </c>
      <c r="F46" s="9" t="str">
        <f aca="false">IF($A46="","",E46-D46)</f>
        <v/>
      </c>
      <c r="G46" s="10" t="str">
        <f aca="false">IF($A46="","",IF(D46=0,"n/a",F46/ABS(D46)))</f>
        <v/>
      </c>
      <c r="H46" s="11" t="str">
        <f aca="false">IF($A46="","",IF(F46=0,"-",IF((C46="매출")=(F46&gt;0),"유리","불리")))</f>
        <v/>
      </c>
      <c r="I46" s="9" t="str">
        <f aca="false">IF($A46="","",SUMPRODUCT((예산!$A$5:$A$204=$A46)*(COLUMN(예산!$D$4:$O$4)-COLUMN(예산!$D$4)+1&lt;=설정!$B$4)*예산!$D$5:$O$204))</f>
        <v/>
      </c>
      <c r="J46" s="9" t="str">
        <f aca="false">IF($A46="","",SUMPRODUCT((실적!$A$5:$A$204=$A46)*(COLUMN(실적!$D$4:$O$4)-COLUMN(실적!$D$4)+1&lt;=설정!$B$4)*실적!$D$5:$O$204))</f>
        <v/>
      </c>
      <c r="K46" s="9" t="str">
        <f aca="false">IF($A46="","",J46-I46)</f>
        <v/>
      </c>
      <c r="L46" s="10" t="str">
        <f aca="false">IF($A46="","",IF(I46=0,"n/a",K46/ABS(I46)))</f>
        <v/>
      </c>
      <c r="M46" s="11" t="str">
        <f aca="false">IF($A46="","",IF(K46=0,"-",IF((C46="매출")=(K46&gt;0),"유리","불리")))</f>
        <v/>
      </c>
      <c r="N46" s="18" t="str">
        <f aca="false">IF($A46="","",IF(AND(ABS(F46)&gt;=설정!$B$5,OR(D46=0,ABS(IF(D46=0,0,F46/D46))&gt;=설정!$B$6)),"●",""))</f>
        <v/>
      </c>
      <c r="O46" s="31"/>
      <c r="P46" s="44" t="str">
        <f aca="false">IF($A46="","",IF(N46="","",B46&amp;": 당월 실적 "&amp;TEXT(E46,"#,##0")&amp;설정!$B$7&amp;"으로 예산 대비 "&amp;TEXT(ABS(F46),"#,##0")&amp;설정!$B$7&amp;"("&amp;IF(D46=0,"예산 없음",TEXT(ABS(G46),"0.0%"))&amp;") "&amp;IF(C46="매출",IF(F46&gt;0,"상회","하회"),IF(F46&gt;0,"초과","절감"))&amp;" ["&amp;H46&amp;"]. 원인: "&amp;IF(O46="","___",O46)))</f>
        <v/>
      </c>
      <c r="Q46" s="45" t="str">
        <f aca="false">IF($A46="","",IF(N46="●",ABS(F46)+ROW()/1000000,0))</f>
        <v/>
      </c>
    </row>
    <row r="47" customFormat="false" ht="15" hidden="false" customHeight="false" outlineLevel="0" collapsed="false">
      <c r="A47" s="43" t="str">
        <f aca="false">IF(예산!A47="","",예산!A47)</f>
        <v/>
      </c>
      <c r="B47" s="43" t="str">
        <f aca="false">IF(예산!B47="","",예산!B47)</f>
        <v/>
      </c>
      <c r="C47" s="43" t="str">
        <f aca="false">IF(예산!C47="","",예산!C47)</f>
        <v/>
      </c>
      <c r="D47" s="9" t="str">
        <f aca="false">IF($A47="","",SUMIFS(INDEX(예산!$D$5:$O$204,0,설정!$B$4),예산!$A$5:$A$204,$A47))</f>
        <v/>
      </c>
      <c r="E47" s="9" t="str">
        <f aca="false">IF($A47="","",SUMIFS(INDEX(실적!$D$5:$O$204,0,설정!$B$4),실적!$A$5:$A$204,$A47))</f>
        <v/>
      </c>
      <c r="F47" s="9" t="str">
        <f aca="false">IF($A47="","",E47-D47)</f>
        <v/>
      </c>
      <c r="G47" s="10" t="str">
        <f aca="false">IF($A47="","",IF(D47=0,"n/a",F47/ABS(D47)))</f>
        <v/>
      </c>
      <c r="H47" s="11" t="str">
        <f aca="false">IF($A47="","",IF(F47=0,"-",IF((C47="매출")=(F47&gt;0),"유리","불리")))</f>
        <v/>
      </c>
      <c r="I47" s="9" t="str">
        <f aca="false">IF($A47="","",SUMPRODUCT((예산!$A$5:$A$204=$A47)*(COLUMN(예산!$D$4:$O$4)-COLUMN(예산!$D$4)+1&lt;=설정!$B$4)*예산!$D$5:$O$204))</f>
        <v/>
      </c>
      <c r="J47" s="9" t="str">
        <f aca="false">IF($A47="","",SUMPRODUCT((실적!$A$5:$A$204=$A47)*(COLUMN(실적!$D$4:$O$4)-COLUMN(실적!$D$4)+1&lt;=설정!$B$4)*실적!$D$5:$O$204))</f>
        <v/>
      </c>
      <c r="K47" s="9" t="str">
        <f aca="false">IF($A47="","",J47-I47)</f>
        <v/>
      </c>
      <c r="L47" s="10" t="str">
        <f aca="false">IF($A47="","",IF(I47=0,"n/a",K47/ABS(I47)))</f>
        <v/>
      </c>
      <c r="M47" s="11" t="str">
        <f aca="false">IF($A47="","",IF(K47=0,"-",IF((C47="매출")=(K47&gt;0),"유리","불리")))</f>
        <v/>
      </c>
      <c r="N47" s="18" t="str">
        <f aca="false">IF($A47="","",IF(AND(ABS(F47)&gt;=설정!$B$5,OR(D47=0,ABS(IF(D47=0,0,F47/D47))&gt;=설정!$B$6)),"●",""))</f>
        <v/>
      </c>
      <c r="O47" s="31"/>
      <c r="P47" s="44" t="str">
        <f aca="false">IF($A47="","",IF(N47="","",B47&amp;": 당월 실적 "&amp;TEXT(E47,"#,##0")&amp;설정!$B$7&amp;"으로 예산 대비 "&amp;TEXT(ABS(F47),"#,##0")&amp;설정!$B$7&amp;"("&amp;IF(D47=0,"예산 없음",TEXT(ABS(G47),"0.0%"))&amp;") "&amp;IF(C47="매출",IF(F47&gt;0,"상회","하회"),IF(F47&gt;0,"초과","절감"))&amp;" ["&amp;H47&amp;"]. 원인: "&amp;IF(O47="","___",O47)))</f>
        <v/>
      </c>
      <c r="Q47" s="45" t="str">
        <f aca="false">IF($A47="","",IF(N47="●",ABS(F47)+ROW()/1000000,0))</f>
        <v/>
      </c>
    </row>
    <row r="48" customFormat="false" ht="15" hidden="false" customHeight="false" outlineLevel="0" collapsed="false">
      <c r="A48" s="43" t="str">
        <f aca="false">IF(예산!A48="","",예산!A48)</f>
        <v/>
      </c>
      <c r="B48" s="43" t="str">
        <f aca="false">IF(예산!B48="","",예산!B48)</f>
        <v/>
      </c>
      <c r="C48" s="43" t="str">
        <f aca="false">IF(예산!C48="","",예산!C48)</f>
        <v/>
      </c>
      <c r="D48" s="9" t="str">
        <f aca="false">IF($A48="","",SUMIFS(INDEX(예산!$D$5:$O$204,0,설정!$B$4),예산!$A$5:$A$204,$A48))</f>
        <v/>
      </c>
      <c r="E48" s="9" t="str">
        <f aca="false">IF($A48="","",SUMIFS(INDEX(실적!$D$5:$O$204,0,설정!$B$4),실적!$A$5:$A$204,$A48))</f>
        <v/>
      </c>
      <c r="F48" s="9" t="str">
        <f aca="false">IF($A48="","",E48-D48)</f>
        <v/>
      </c>
      <c r="G48" s="10" t="str">
        <f aca="false">IF($A48="","",IF(D48=0,"n/a",F48/ABS(D48)))</f>
        <v/>
      </c>
      <c r="H48" s="11" t="str">
        <f aca="false">IF($A48="","",IF(F48=0,"-",IF((C48="매출")=(F48&gt;0),"유리","불리")))</f>
        <v/>
      </c>
      <c r="I48" s="9" t="str">
        <f aca="false">IF($A48="","",SUMPRODUCT((예산!$A$5:$A$204=$A48)*(COLUMN(예산!$D$4:$O$4)-COLUMN(예산!$D$4)+1&lt;=설정!$B$4)*예산!$D$5:$O$204))</f>
        <v/>
      </c>
      <c r="J48" s="9" t="str">
        <f aca="false">IF($A48="","",SUMPRODUCT((실적!$A$5:$A$204=$A48)*(COLUMN(실적!$D$4:$O$4)-COLUMN(실적!$D$4)+1&lt;=설정!$B$4)*실적!$D$5:$O$204))</f>
        <v/>
      </c>
      <c r="K48" s="9" t="str">
        <f aca="false">IF($A48="","",J48-I48)</f>
        <v/>
      </c>
      <c r="L48" s="10" t="str">
        <f aca="false">IF($A48="","",IF(I48=0,"n/a",K48/ABS(I48)))</f>
        <v/>
      </c>
      <c r="M48" s="11" t="str">
        <f aca="false">IF($A48="","",IF(K48=0,"-",IF((C48="매출")=(K48&gt;0),"유리","불리")))</f>
        <v/>
      </c>
      <c r="N48" s="18" t="str">
        <f aca="false">IF($A48="","",IF(AND(ABS(F48)&gt;=설정!$B$5,OR(D48=0,ABS(IF(D48=0,0,F48/D48))&gt;=설정!$B$6)),"●",""))</f>
        <v/>
      </c>
      <c r="O48" s="31"/>
      <c r="P48" s="44" t="str">
        <f aca="false">IF($A48="","",IF(N48="","",B48&amp;": 당월 실적 "&amp;TEXT(E48,"#,##0")&amp;설정!$B$7&amp;"으로 예산 대비 "&amp;TEXT(ABS(F48),"#,##0")&amp;설정!$B$7&amp;"("&amp;IF(D48=0,"예산 없음",TEXT(ABS(G48),"0.0%"))&amp;") "&amp;IF(C48="매출",IF(F48&gt;0,"상회","하회"),IF(F48&gt;0,"초과","절감"))&amp;" ["&amp;H48&amp;"]. 원인: "&amp;IF(O48="","___",O48)))</f>
        <v/>
      </c>
      <c r="Q48" s="45" t="str">
        <f aca="false">IF($A48="","",IF(N48="●",ABS(F48)+ROW()/1000000,0))</f>
        <v/>
      </c>
    </row>
    <row r="49" customFormat="false" ht="15" hidden="false" customHeight="false" outlineLevel="0" collapsed="false">
      <c r="A49" s="43" t="str">
        <f aca="false">IF(예산!A49="","",예산!A49)</f>
        <v/>
      </c>
      <c r="B49" s="43" t="str">
        <f aca="false">IF(예산!B49="","",예산!B49)</f>
        <v/>
      </c>
      <c r="C49" s="43" t="str">
        <f aca="false">IF(예산!C49="","",예산!C49)</f>
        <v/>
      </c>
      <c r="D49" s="9" t="str">
        <f aca="false">IF($A49="","",SUMIFS(INDEX(예산!$D$5:$O$204,0,설정!$B$4),예산!$A$5:$A$204,$A49))</f>
        <v/>
      </c>
      <c r="E49" s="9" t="str">
        <f aca="false">IF($A49="","",SUMIFS(INDEX(실적!$D$5:$O$204,0,설정!$B$4),실적!$A$5:$A$204,$A49))</f>
        <v/>
      </c>
      <c r="F49" s="9" t="str">
        <f aca="false">IF($A49="","",E49-D49)</f>
        <v/>
      </c>
      <c r="G49" s="10" t="str">
        <f aca="false">IF($A49="","",IF(D49=0,"n/a",F49/ABS(D49)))</f>
        <v/>
      </c>
      <c r="H49" s="11" t="str">
        <f aca="false">IF($A49="","",IF(F49=0,"-",IF((C49="매출")=(F49&gt;0),"유리","불리")))</f>
        <v/>
      </c>
      <c r="I49" s="9" t="str">
        <f aca="false">IF($A49="","",SUMPRODUCT((예산!$A$5:$A$204=$A49)*(COLUMN(예산!$D$4:$O$4)-COLUMN(예산!$D$4)+1&lt;=설정!$B$4)*예산!$D$5:$O$204))</f>
        <v/>
      </c>
      <c r="J49" s="9" t="str">
        <f aca="false">IF($A49="","",SUMPRODUCT((실적!$A$5:$A$204=$A49)*(COLUMN(실적!$D$4:$O$4)-COLUMN(실적!$D$4)+1&lt;=설정!$B$4)*실적!$D$5:$O$204))</f>
        <v/>
      </c>
      <c r="K49" s="9" t="str">
        <f aca="false">IF($A49="","",J49-I49)</f>
        <v/>
      </c>
      <c r="L49" s="10" t="str">
        <f aca="false">IF($A49="","",IF(I49=0,"n/a",K49/ABS(I49)))</f>
        <v/>
      </c>
      <c r="M49" s="11" t="str">
        <f aca="false">IF($A49="","",IF(K49=0,"-",IF((C49="매출")=(K49&gt;0),"유리","불리")))</f>
        <v/>
      </c>
      <c r="N49" s="18" t="str">
        <f aca="false">IF($A49="","",IF(AND(ABS(F49)&gt;=설정!$B$5,OR(D49=0,ABS(IF(D49=0,0,F49/D49))&gt;=설정!$B$6)),"●",""))</f>
        <v/>
      </c>
      <c r="O49" s="31"/>
      <c r="P49" s="44" t="str">
        <f aca="false">IF($A49="","",IF(N49="","",B49&amp;": 당월 실적 "&amp;TEXT(E49,"#,##0")&amp;설정!$B$7&amp;"으로 예산 대비 "&amp;TEXT(ABS(F49),"#,##0")&amp;설정!$B$7&amp;"("&amp;IF(D49=0,"예산 없음",TEXT(ABS(G49),"0.0%"))&amp;") "&amp;IF(C49="매출",IF(F49&gt;0,"상회","하회"),IF(F49&gt;0,"초과","절감"))&amp;" ["&amp;H49&amp;"]. 원인: "&amp;IF(O49="","___",O49)))</f>
        <v/>
      </c>
      <c r="Q49" s="45" t="str">
        <f aca="false">IF($A49="","",IF(N49="●",ABS(F49)+ROW()/1000000,0))</f>
        <v/>
      </c>
    </row>
    <row r="50" customFormat="false" ht="15" hidden="false" customHeight="false" outlineLevel="0" collapsed="false">
      <c r="A50" s="43" t="str">
        <f aca="false">IF(예산!A50="","",예산!A50)</f>
        <v/>
      </c>
      <c r="B50" s="43" t="str">
        <f aca="false">IF(예산!B50="","",예산!B50)</f>
        <v/>
      </c>
      <c r="C50" s="43" t="str">
        <f aca="false">IF(예산!C50="","",예산!C50)</f>
        <v/>
      </c>
      <c r="D50" s="9" t="str">
        <f aca="false">IF($A50="","",SUMIFS(INDEX(예산!$D$5:$O$204,0,설정!$B$4),예산!$A$5:$A$204,$A50))</f>
        <v/>
      </c>
      <c r="E50" s="9" t="str">
        <f aca="false">IF($A50="","",SUMIFS(INDEX(실적!$D$5:$O$204,0,설정!$B$4),실적!$A$5:$A$204,$A50))</f>
        <v/>
      </c>
      <c r="F50" s="9" t="str">
        <f aca="false">IF($A50="","",E50-D50)</f>
        <v/>
      </c>
      <c r="G50" s="10" t="str">
        <f aca="false">IF($A50="","",IF(D50=0,"n/a",F50/ABS(D50)))</f>
        <v/>
      </c>
      <c r="H50" s="11" t="str">
        <f aca="false">IF($A50="","",IF(F50=0,"-",IF((C50="매출")=(F50&gt;0),"유리","불리")))</f>
        <v/>
      </c>
      <c r="I50" s="9" t="str">
        <f aca="false">IF($A50="","",SUMPRODUCT((예산!$A$5:$A$204=$A50)*(COLUMN(예산!$D$4:$O$4)-COLUMN(예산!$D$4)+1&lt;=설정!$B$4)*예산!$D$5:$O$204))</f>
        <v/>
      </c>
      <c r="J50" s="9" t="str">
        <f aca="false">IF($A50="","",SUMPRODUCT((실적!$A$5:$A$204=$A50)*(COLUMN(실적!$D$4:$O$4)-COLUMN(실적!$D$4)+1&lt;=설정!$B$4)*실적!$D$5:$O$204))</f>
        <v/>
      </c>
      <c r="K50" s="9" t="str">
        <f aca="false">IF($A50="","",J50-I50)</f>
        <v/>
      </c>
      <c r="L50" s="10" t="str">
        <f aca="false">IF($A50="","",IF(I50=0,"n/a",K50/ABS(I50)))</f>
        <v/>
      </c>
      <c r="M50" s="11" t="str">
        <f aca="false">IF($A50="","",IF(K50=0,"-",IF((C50="매출")=(K50&gt;0),"유리","불리")))</f>
        <v/>
      </c>
      <c r="N50" s="18" t="str">
        <f aca="false">IF($A50="","",IF(AND(ABS(F50)&gt;=설정!$B$5,OR(D50=0,ABS(IF(D50=0,0,F50/D50))&gt;=설정!$B$6)),"●",""))</f>
        <v/>
      </c>
      <c r="O50" s="31"/>
      <c r="P50" s="44" t="str">
        <f aca="false">IF($A50="","",IF(N50="","",B50&amp;": 당월 실적 "&amp;TEXT(E50,"#,##0")&amp;설정!$B$7&amp;"으로 예산 대비 "&amp;TEXT(ABS(F50),"#,##0")&amp;설정!$B$7&amp;"("&amp;IF(D50=0,"예산 없음",TEXT(ABS(G50),"0.0%"))&amp;") "&amp;IF(C50="매출",IF(F50&gt;0,"상회","하회"),IF(F50&gt;0,"초과","절감"))&amp;" ["&amp;H50&amp;"]. 원인: "&amp;IF(O50="","___",O50)))</f>
        <v/>
      </c>
      <c r="Q50" s="45" t="str">
        <f aca="false">IF($A50="","",IF(N50="●",ABS(F50)+ROW()/1000000,0))</f>
        <v/>
      </c>
    </row>
    <row r="51" customFormat="false" ht="15" hidden="false" customHeight="false" outlineLevel="0" collapsed="false">
      <c r="A51" s="43" t="str">
        <f aca="false">IF(예산!A51="","",예산!A51)</f>
        <v/>
      </c>
      <c r="B51" s="43" t="str">
        <f aca="false">IF(예산!B51="","",예산!B51)</f>
        <v/>
      </c>
      <c r="C51" s="43" t="str">
        <f aca="false">IF(예산!C51="","",예산!C51)</f>
        <v/>
      </c>
      <c r="D51" s="9" t="str">
        <f aca="false">IF($A51="","",SUMIFS(INDEX(예산!$D$5:$O$204,0,설정!$B$4),예산!$A$5:$A$204,$A51))</f>
        <v/>
      </c>
      <c r="E51" s="9" t="str">
        <f aca="false">IF($A51="","",SUMIFS(INDEX(실적!$D$5:$O$204,0,설정!$B$4),실적!$A$5:$A$204,$A51))</f>
        <v/>
      </c>
      <c r="F51" s="9" t="str">
        <f aca="false">IF($A51="","",E51-D51)</f>
        <v/>
      </c>
      <c r="G51" s="10" t="str">
        <f aca="false">IF($A51="","",IF(D51=0,"n/a",F51/ABS(D51)))</f>
        <v/>
      </c>
      <c r="H51" s="11" t="str">
        <f aca="false">IF($A51="","",IF(F51=0,"-",IF((C51="매출")=(F51&gt;0),"유리","불리")))</f>
        <v/>
      </c>
      <c r="I51" s="9" t="str">
        <f aca="false">IF($A51="","",SUMPRODUCT((예산!$A$5:$A$204=$A51)*(COLUMN(예산!$D$4:$O$4)-COLUMN(예산!$D$4)+1&lt;=설정!$B$4)*예산!$D$5:$O$204))</f>
        <v/>
      </c>
      <c r="J51" s="9" t="str">
        <f aca="false">IF($A51="","",SUMPRODUCT((실적!$A$5:$A$204=$A51)*(COLUMN(실적!$D$4:$O$4)-COLUMN(실적!$D$4)+1&lt;=설정!$B$4)*실적!$D$5:$O$204))</f>
        <v/>
      </c>
      <c r="K51" s="9" t="str">
        <f aca="false">IF($A51="","",J51-I51)</f>
        <v/>
      </c>
      <c r="L51" s="10" t="str">
        <f aca="false">IF($A51="","",IF(I51=0,"n/a",K51/ABS(I51)))</f>
        <v/>
      </c>
      <c r="M51" s="11" t="str">
        <f aca="false">IF($A51="","",IF(K51=0,"-",IF((C51="매출")=(K51&gt;0),"유리","불리")))</f>
        <v/>
      </c>
      <c r="N51" s="18" t="str">
        <f aca="false">IF($A51="","",IF(AND(ABS(F51)&gt;=설정!$B$5,OR(D51=0,ABS(IF(D51=0,0,F51/D51))&gt;=설정!$B$6)),"●",""))</f>
        <v/>
      </c>
      <c r="O51" s="31"/>
      <c r="P51" s="44" t="str">
        <f aca="false">IF($A51="","",IF(N51="","",B51&amp;": 당월 실적 "&amp;TEXT(E51,"#,##0")&amp;설정!$B$7&amp;"으로 예산 대비 "&amp;TEXT(ABS(F51),"#,##0")&amp;설정!$B$7&amp;"("&amp;IF(D51=0,"예산 없음",TEXT(ABS(G51),"0.0%"))&amp;") "&amp;IF(C51="매출",IF(F51&gt;0,"상회","하회"),IF(F51&gt;0,"초과","절감"))&amp;" ["&amp;H51&amp;"]. 원인: "&amp;IF(O51="","___",O51)))</f>
        <v/>
      </c>
      <c r="Q51" s="45" t="str">
        <f aca="false">IF($A51="","",IF(N51="●",ABS(F51)+ROW()/1000000,0))</f>
        <v/>
      </c>
    </row>
    <row r="52" customFormat="false" ht="15" hidden="false" customHeight="false" outlineLevel="0" collapsed="false">
      <c r="A52" s="43" t="str">
        <f aca="false">IF(예산!A52="","",예산!A52)</f>
        <v/>
      </c>
      <c r="B52" s="43" t="str">
        <f aca="false">IF(예산!B52="","",예산!B52)</f>
        <v/>
      </c>
      <c r="C52" s="43" t="str">
        <f aca="false">IF(예산!C52="","",예산!C52)</f>
        <v/>
      </c>
      <c r="D52" s="9" t="str">
        <f aca="false">IF($A52="","",SUMIFS(INDEX(예산!$D$5:$O$204,0,설정!$B$4),예산!$A$5:$A$204,$A52))</f>
        <v/>
      </c>
      <c r="E52" s="9" t="str">
        <f aca="false">IF($A52="","",SUMIFS(INDEX(실적!$D$5:$O$204,0,설정!$B$4),실적!$A$5:$A$204,$A52))</f>
        <v/>
      </c>
      <c r="F52" s="9" t="str">
        <f aca="false">IF($A52="","",E52-D52)</f>
        <v/>
      </c>
      <c r="G52" s="10" t="str">
        <f aca="false">IF($A52="","",IF(D52=0,"n/a",F52/ABS(D52)))</f>
        <v/>
      </c>
      <c r="H52" s="11" t="str">
        <f aca="false">IF($A52="","",IF(F52=0,"-",IF((C52="매출")=(F52&gt;0),"유리","불리")))</f>
        <v/>
      </c>
      <c r="I52" s="9" t="str">
        <f aca="false">IF($A52="","",SUMPRODUCT((예산!$A$5:$A$204=$A52)*(COLUMN(예산!$D$4:$O$4)-COLUMN(예산!$D$4)+1&lt;=설정!$B$4)*예산!$D$5:$O$204))</f>
        <v/>
      </c>
      <c r="J52" s="9" t="str">
        <f aca="false">IF($A52="","",SUMPRODUCT((실적!$A$5:$A$204=$A52)*(COLUMN(실적!$D$4:$O$4)-COLUMN(실적!$D$4)+1&lt;=설정!$B$4)*실적!$D$5:$O$204))</f>
        <v/>
      </c>
      <c r="K52" s="9" t="str">
        <f aca="false">IF($A52="","",J52-I52)</f>
        <v/>
      </c>
      <c r="L52" s="10" t="str">
        <f aca="false">IF($A52="","",IF(I52=0,"n/a",K52/ABS(I52)))</f>
        <v/>
      </c>
      <c r="M52" s="11" t="str">
        <f aca="false">IF($A52="","",IF(K52=0,"-",IF((C52="매출")=(K52&gt;0),"유리","불리")))</f>
        <v/>
      </c>
      <c r="N52" s="18" t="str">
        <f aca="false">IF($A52="","",IF(AND(ABS(F52)&gt;=설정!$B$5,OR(D52=0,ABS(IF(D52=0,0,F52/D52))&gt;=설정!$B$6)),"●",""))</f>
        <v/>
      </c>
      <c r="O52" s="31"/>
      <c r="P52" s="44" t="str">
        <f aca="false">IF($A52="","",IF(N52="","",B52&amp;": 당월 실적 "&amp;TEXT(E52,"#,##0")&amp;설정!$B$7&amp;"으로 예산 대비 "&amp;TEXT(ABS(F52),"#,##0")&amp;설정!$B$7&amp;"("&amp;IF(D52=0,"예산 없음",TEXT(ABS(G52),"0.0%"))&amp;") "&amp;IF(C52="매출",IF(F52&gt;0,"상회","하회"),IF(F52&gt;0,"초과","절감"))&amp;" ["&amp;H52&amp;"]. 원인: "&amp;IF(O52="","___",O52)))</f>
        <v/>
      </c>
      <c r="Q52" s="45" t="str">
        <f aca="false">IF($A52="","",IF(N52="●",ABS(F52)+ROW()/1000000,0))</f>
        <v/>
      </c>
    </row>
    <row r="53" customFormat="false" ht="15" hidden="false" customHeight="false" outlineLevel="0" collapsed="false">
      <c r="A53" s="43" t="str">
        <f aca="false">IF(예산!A53="","",예산!A53)</f>
        <v/>
      </c>
      <c r="B53" s="43" t="str">
        <f aca="false">IF(예산!B53="","",예산!B53)</f>
        <v/>
      </c>
      <c r="C53" s="43" t="str">
        <f aca="false">IF(예산!C53="","",예산!C53)</f>
        <v/>
      </c>
      <c r="D53" s="9" t="str">
        <f aca="false">IF($A53="","",SUMIFS(INDEX(예산!$D$5:$O$204,0,설정!$B$4),예산!$A$5:$A$204,$A53))</f>
        <v/>
      </c>
      <c r="E53" s="9" t="str">
        <f aca="false">IF($A53="","",SUMIFS(INDEX(실적!$D$5:$O$204,0,설정!$B$4),실적!$A$5:$A$204,$A53))</f>
        <v/>
      </c>
      <c r="F53" s="9" t="str">
        <f aca="false">IF($A53="","",E53-D53)</f>
        <v/>
      </c>
      <c r="G53" s="10" t="str">
        <f aca="false">IF($A53="","",IF(D53=0,"n/a",F53/ABS(D53)))</f>
        <v/>
      </c>
      <c r="H53" s="11" t="str">
        <f aca="false">IF($A53="","",IF(F53=0,"-",IF((C53="매출")=(F53&gt;0),"유리","불리")))</f>
        <v/>
      </c>
      <c r="I53" s="9" t="str">
        <f aca="false">IF($A53="","",SUMPRODUCT((예산!$A$5:$A$204=$A53)*(COLUMN(예산!$D$4:$O$4)-COLUMN(예산!$D$4)+1&lt;=설정!$B$4)*예산!$D$5:$O$204))</f>
        <v/>
      </c>
      <c r="J53" s="9" t="str">
        <f aca="false">IF($A53="","",SUMPRODUCT((실적!$A$5:$A$204=$A53)*(COLUMN(실적!$D$4:$O$4)-COLUMN(실적!$D$4)+1&lt;=설정!$B$4)*실적!$D$5:$O$204))</f>
        <v/>
      </c>
      <c r="K53" s="9" t="str">
        <f aca="false">IF($A53="","",J53-I53)</f>
        <v/>
      </c>
      <c r="L53" s="10" t="str">
        <f aca="false">IF($A53="","",IF(I53=0,"n/a",K53/ABS(I53)))</f>
        <v/>
      </c>
      <c r="M53" s="11" t="str">
        <f aca="false">IF($A53="","",IF(K53=0,"-",IF((C53="매출")=(K53&gt;0),"유리","불리")))</f>
        <v/>
      </c>
      <c r="N53" s="18" t="str">
        <f aca="false">IF($A53="","",IF(AND(ABS(F53)&gt;=설정!$B$5,OR(D53=0,ABS(IF(D53=0,0,F53/D53))&gt;=설정!$B$6)),"●",""))</f>
        <v/>
      </c>
      <c r="O53" s="31"/>
      <c r="P53" s="44" t="str">
        <f aca="false">IF($A53="","",IF(N53="","",B53&amp;": 당월 실적 "&amp;TEXT(E53,"#,##0")&amp;설정!$B$7&amp;"으로 예산 대비 "&amp;TEXT(ABS(F53),"#,##0")&amp;설정!$B$7&amp;"("&amp;IF(D53=0,"예산 없음",TEXT(ABS(G53),"0.0%"))&amp;") "&amp;IF(C53="매출",IF(F53&gt;0,"상회","하회"),IF(F53&gt;0,"초과","절감"))&amp;" ["&amp;H53&amp;"]. 원인: "&amp;IF(O53="","___",O53)))</f>
        <v/>
      </c>
      <c r="Q53" s="45" t="str">
        <f aca="false">IF($A53="","",IF(N53="●",ABS(F53)+ROW()/1000000,0))</f>
        <v/>
      </c>
    </row>
    <row r="54" customFormat="false" ht="15" hidden="false" customHeight="false" outlineLevel="0" collapsed="false">
      <c r="A54" s="43" t="str">
        <f aca="false">IF(예산!A54="","",예산!A54)</f>
        <v/>
      </c>
      <c r="B54" s="43" t="str">
        <f aca="false">IF(예산!B54="","",예산!B54)</f>
        <v/>
      </c>
      <c r="C54" s="43" t="str">
        <f aca="false">IF(예산!C54="","",예산!C54)</f>
        <v/>
      </c>
      <c r="D54" s="9" t="str">
        <f aca="false">IF($A54="","",SUMIFS(INDEX(예산!$D$5:$O$204,0,설정!$B$4),예산!$A$5:$A$204,$A54))</f>
        <v/>
      </c>
      <c r="E54" s="9" t="str">
        <f aca="false">IF($A54="","",SUMIFS(INDEX(실적!$D$5:$O$204,0,설정!$B$4),실적!$A$5:$A$204,$A54))</f>
        <v/>
      </c>
      <c r="F54" s="9" t="str">
        <f aca="false">IF($A54="","",E54-D54)</f>
        <v/>
      </c>
      <c r="G54" s="10" t="str">
        <f aca="false">IF($A54="","",IF(D54=0,"n/a",F54/ABS(D54)))</f>
        <v/>
      </c>
      <c r="H54" s="11" t="str">
        <f aca="false">IF($A54="","",IF(F54=0,"-",IF((C54="매출")=(F54&gt;0),"유리","불리")))</f>
        <v/>
      </c>
      <c r="I54" s="9" t="str">
        <f aca="false">IF($A54="","",SUMPRODUCT((예산!$A$5:$A$204=$A54)*(COLUMN(예산!$D$4:$O$4)-COLUMN(예산!$D$4)+1&lt;=설정!$B$4)*예산!$D$5:$O$204))</f>
        <v/>
      </c>
      <c r="J54" s="9" t="str">
        <f aca="false">IF($A54="","",SUMPRODUCT((실적!$A$5:$A$204=$A54)*(COLUMN(실적!$D$4:$O$4)-COLUMN(실적!$D$4)+1&lt;=설정!$B$4)*실적!$D$5:$O$204))</f>
        <v/>
      </c>
      <c r="K54" s="9" t="str">
        <f aca="false">IF($A54="","",J54-I54)</f>
        <v/>
      </c>
      <c r="L54" s="10" t="str">
        <f aca="false">IF($A54="","",IF(I54=0,"n/a",K54/ABS(I54)))</f>
        <v/>
      </c>
      <c r="M54" s="11" t="str">
        <f aca="false">IF($A54="","",IF(K54=0,"-",IF((C54="매출")=(K54&gt;0),"유리","불리")))</f>
        <v/>
      </c>
      <c r="N54" s="18" t="str">
        <f aca="false">IF($A54="","",IF(AND(ABS(F54)&gt;=설정!$B$5,OR(D54=0,ABS(IF(D54=0,0,F54/D54))&gt;=설정!$B$6)),"●",""))</f>
        <v/>
      </c>
      <c r="O54" s="31"/>
      <c r="P54" s="44" t="str">
        <f aca="false">IF($A54="","",IF(N54="","",B54&amp;": 당월 실적 "&amp;TEXT(E54,"#,##0")&amp;설정!$B$7&amp;"으로 예산 대비 "&amp;TEXT(ABS(F54),"#,##0")&amp;설정!$B$7&amp;"("&amp;IF(D54=0,"예산 없음",TEXT(ABS(G54),"0.0%"))&amp;") "&amp;IF(C54="매출",IF(F54&gt;0,"상회","하회"),IF(F54&gt;0,"초과","절감"))&amp;" ["&amp;H54&amp;"]. 원인: "&amp;IF(O54="","___",O54)))</f>
        <v/>
      </c>
      <c r="Q54" s="45" t="str">
        <f aca="false">IF($A54="","",IF(N54="●",ABS(F54)+ROW()/1000000,0))</f>
        <v/>
      </c>
    </row>
    <row r="55" customFormat="false" ht="15" hidden="false" customHeight="false" outlineLevel="0" collapsed="false">
      <c r="A55" s="43" t="str">
        <f aca="false">IF(예산!A55="","",예산!A55)</f>
        <v/>
      </c>
      <c r="B55" s="43" t="str">
        <f aca="false">IF(예산!B55="","",예산!B55)</f>
        <v/>
      </c>
      <c r="C55" s="43" t="str">
        <f aca="false">IF(예산!C55="","",예산!C55)</f>
        <v/>
      </c>
      <c r="D55" s="9" t="str">
        <f aca="false">IF($A55="","",SUMIFS(INDEX(예산!$D$5:$O$204,0,설정!$B$4),예산!$A$5:$A$204,$A55))</f>
        <v/>
      </c>
      <c r="E55" s="9" t="str">
        <f aca="false">IF($A55="","",SUMIFS(INDEX(실적!$D$5:$O$204,0,설정!$B$4),실적!$A$5:$A$204,$A55))</f>
        <v/>
      </c>
      <c r="F55" s="9" t="str">
        <f aca="false">IF($A55="","",E55-D55)</f>
        <v/>
      </c>
      <c r="G55" s="10" t="str">
        <f aca="false">IF($A55="","",IF(D55=0,"n/a",F55/ABS(D55)))</f>
        <v/>
      </c>
      <c r="H55" s="11" t="str">
        <f aca="false">IF($A55="","",IF(F55=0,"-",IF((C55="매출")=(F55&gt;0),"유리","불리")))</f>
        <v/>
      </c>
      <c r="I55" s="9" t="str">
        <f aca="false">IF($A55="","",SUMPRODUCT((예산!$A$5:$A$204=$A55)*(COLUMN(예산!$D$4:$O$4)-COLUMN(예산!$D$4)+1&lt;=설정!$B$4)*예산!$D$5:$O$204))</f>
        <v/>
      </c>
      <c r="J55" s="9" t="str">
        <f aca="false">IF($A55="","",SUMPRODUCT((실적!$A$5:$A$204=$A55)*(COLUMN(실적!$D$4:$O$4)-COLUMN(실적!$D$4)+1&lt;=설정!$B$4)*실적!$D$5:$O$204))</f>
        <v/>
      </c>
      <c r="K55" s="9" t="str">
        <f aca="false">IF($A55="","",J55-I55)</f>
        <v/>
      </c>
      <c r="L55" s="10" t="str">
        <f aca="false">IF($A55="","",IF(I55=0,"n/a",K55/ABS(I55)))</f>
        <v/>
      </c>
      <c r="M55" s="11" t="str">
        <f aca="false">IF($A55="","",IF(K55=0,"-",IF((C55="매출")=(K55&gt;0),"유리","불리")))</f>
        <v/>
      </c>
      <c r="N55" s="18" t="str">
        <f aca="false">IF($A55="","",IF(AND(ABS(F55)&gt;=설정!$B$5,OR(D55=0,ABS(IF(D55=0,0,F55/D55))&gt;=설정!$B$6)),"●",""))</f>
        <v/>
      </c>
      <c r="O55" s="31"/>
      <c r="P55" s="44" t="str">
        <f aca="false">IF($A55="","",IF(N55="","",B55&amp;": 당월 실적 "&amp;TEXT(E55,"#,##0")&amp;설정!$B$7&amp;"으로 예산 대비 "&amp;TEXT(ABS(F55),"#,##0")&amp;설정!$B$7&amp;"("&amp;IF(D55=0,"예산 없음",TEXT(ABS(G55),"0.0%"))&amp;") "&amp;IF(C55="매출",IF(F55&gt;0,"상회","하회"),IF(F55&gt;0,"초과","절감"))&amp;" ["&amp;H55&amp;"]. 원인: "&amp;IF(O55="","___",O55)))</f>
        <v/>
      </c>
      <c r="Q55" s="45" t="str">
        <f aca="false">IF($A55="","",IF(N55="●",ABS(F55)+ROW()/1000000,0))</f>
        <v/>
      </c>
    </row>
    <row r="56" customFormat="false" ht="15" hidden="false" customHeight="false" outlineLevel="0" collapsed="false">
      <c r="A56" s="43" t="str">
        <f aca="false">IF(예산!A56="","",예산!A56)</f>
        <v/>
      </c>
      <c r="B56" s="43" t="str">
        <f aca="false">IF(예산!B56="","",예산!B56)</f>
        <v/>
      </c>
      <c r="C56" s="43" t="str">
        <f aca="false">IF(예산!C56="","",예산!C56)</f>
        <v/>
      </c>
      <c r="D56" s="9" t="str">
        <f aca="false">IF($A56="","",SUMIFS(INDEX(예산!$D$5:$O$204,0,설정!$B$4),예산!$A$5:$A$204,$A56))</f>
        <v/>
      </c>
      <c r="E56" s="9" t="str">
        <f aca="false">IF($A56="","",SUMIFS(INDEX(실적!$D$5:$O$204,0,설정!$B$4),실적!$A$5:$A$204,$A56))</f>
        <v/>
      </c>
      <c r="F56" s="9" t="str">
        <f aca="false">IF($A56="","",E56-D56)</f>
        <v/>
      </c>
      <c r="G56" s="10" t="str">
        <f aca="false">IF($A56="","",IF(D56=0,"n/a",F56/ABS(D56)))</f>
        <v/>
      </c>
      <c r="H56" s="11" t="str">
        <f aca="false">IF($A56="","",IF(F56=0,"-",IF((C56="매출")=(F56&gt;0),"유리","불리")))</f>
        <v/>
      </c>
      <c r="I56" s="9" t="str">
        <f aca="false">IF($A56="","",SUMPRODUCT((예산!$A$5:$A$204=$A56)*(COLUMN(예산!$D$4:$O$4)-COLUMN(예산!$D$4)+1&lt;=설정!$B$4)*예산!$D$5:$O$204))</f>
        <v/>
      </c>
      <c r="J56" s="9" t="str">
        <f aca="false">IF($A56="","",SUMPRODUCT((실적!$A$5:$A$204=$A56)*(COLUMN(실적!$D$4:$O$4)-COLUMN(실적!$D$4)+1&lt;=설정!$B$4)*실적!$D$5:$O$204))</f>
        <v/>
      </c>
      <c r="K56" s="9" t="str">
        <f aca="false">IF($A56="","",J56-I56)</f>
        <v/>
      </c>
      <c r="L56" s="10" t="str">
        <f aca="false">IF($A56="","",IF(I56=0,"n/a",K56/ABS(I56)))</f>
        <v/>
      </c>
      <c r="M56" s="11" t="str">
        <f aca="false">IF($A56="","",IF(K56=0,"-",IF((C56="매출")=(K56&gt;0),"유리","불리")))</f>
        <v/>
      </c>
      <c r="N56" s="18" t="str">
        <f aca="false">IF($A56="","",IF(AND(ABS(F56)&gt;=설정!$B$5,OR(D56=0,ABS(IF(D56=0,0,F56/D56))&gt;=설정!$B$6)),"●",""))</f>
        <v/>
      </c>
      <c r="O56" s="31"/>
      <c r="P56" s="44" t="str">
        <f aca="false">IF($A56="","",IF(N56="","",B56&amp;": 당월 실적 "&amp;TEXT(E56,"#,##0")&amp;설정!$B$7&amp;"으로 예산 대비 "&amp;TEXT(ABS(F56),"#,##0")&amp;설정!$B$7&amp;"("&amp;IF(D56=0,"예산 없음",TEXT(ABS(G56),"0.0%"))&amp;") "&amp;IF(C56="매출",IF(F56&gt;0,"상회","하회"),IF(F56&gt;0,"초과","절감"))&amp;" ["&amp;H56&amp;"]. 원인: "&amp;IF(O56="","___",O56)))</f>
        <v/>
      </c>
      <c r="Q56" s="45" t="str">
        <f aca="false">IF($A56="","",IF(N56="●",ABS(F56)+ROW()/1000000,0))</f>
        <v/>
      </c>
    </row>
    <row r="57" customFormat="false" ht="15" hidden="false" customHeight="false" outlineLevel="0" collapsed="false">
      <c r="A57" s="43" t="str">
        <f aca="false">IF(예산!A57="","",예산!A57)</f>
        <v/>
      </c>
      <c r="B57" s="43" t="str">
        <f aca="false">IF(예산!B57="","",예산!B57)</f>
        <v/>
      </c>
      <c r="C57" s="43" t="str">
        <f aca="false">IF(예산!C57="","",예산!C57)</f>
        <v/>
      </c>
      <c r="D57" s="9" t="str">
        <f aca="false">IF($A57="","",SUMIFS(INDEX(예산!$D$5:$O$204,0,설정!$B$4),예산!$A$5:$A$204,$A57))</f>
        <v/>
      </c>
      <c r="E57" s="9" t="str">
        <f aca="false">IF($A57="","",SUMIFS(INDEX(실적!$D$5:$O$204,0,설정!$B$4),실적!$A$5:$A$204,$A57))</f>
        <v/>
      </c>
      <c r="F57" s="9" t="str">
        <f aca="false">IF($A57="","",E57-D57)</f>
        <v/>
      </c>
      <c r="G57" s="10" t="str">
        <f aca="false">IF($A57="","",IF(D57=0,"n/a",F57/ABS(D57)))</f>
        <v/>
      </c>
      <c r="H57" s="11" t="str">
        <f aca="false">IF($A57="","",IF(F57=0,"-",IF((C57="매출")=(F57&gt;0),"유리","불리")))</f>
        <v/>
      </c>
      <c r="I57" s="9" t="str">
        <f aca="false">IF($A57="","",SUMPRODUCT((예산!$A$5:$A$204=$A57)*(COLUMN(예산!$D$4:$O$4)-COLUMN(예산!$D$4)+1&lt;=설정!$B$4)*예산!$D$5:$O$204))</f>
        <v/>
      </c>
      <c r="J57" s="9" t="str">
        <f aca="false">IF($A57="","",SUMPRODUCT((실적!$A$5:$A$204=$A57)*(COLUMN(실적!$D$4:$O$4)-COLUMN(실적!$D$4)+1&lt;=설정!$B$4)*실적!$D$5:$O$204))</f>
        <v/>
      </c>
      <c r="K57" s="9" t="str">
        <f aca="false">IF($A57="","",J57-I57)</f>
        <v/>
      </c>
      <c r="L57" s="10" t="str">
        <f aca="false">IF($A57="","",IF(I57=0,"n/a",K57/ABS(I57)))</f>
        <v/>
      </c>
      <c r="M57" s="11" t="str">
        <f aca="false">IF($A57="","",IF(K57=0,"-",IF((C57="매출")=(K57&gt;0),"유리","불리")))</f>
        <v/>
      </c>
      <c r="N57" s="18" t="str">
        <f aca="false">IF($A57="","",IF(AND(ABS(F57)&gt;=설정!$B$5,OR(D57=0,ABS(IF(D57=0,0,F57/D57))&gt;=설정!$B$6)),"●",""))</f>
        <v/>
      </c>
      <c r="O57" s="31"/>
      <c r="P57" s="44" t="str">
        <f aca="false">IF($A57="","",IF(N57="","",B57&amp;": 당월 실적 "&amp;TEXT(E57,"#,##0")&amp;설정!$B$7&amp;"으로 예산 대비 "&amp;TEXT(ABS(F57),"#,##0")&amp;설정!$B$7&amp;"("&amp;IF(D57=0,"예산 없음",TEXT(ABS(G57),"0.0%"))&amp;") "&amp;IF(C57="매출",IF(F57&gt;0,"상회","하회"),IF(F57&gt;0,"초과","절감"))&amp;" ["&amp;H57&amp;"]. 원인: "&amp;IF(O57="","___",O57)))</f>
        <v/>
      </c>
      <c r="Q57" s="45" t="str">
        <f aca="false">IF($A57="","",IF(N57="●",ABS(F57)+ROW()/1000000,0))</f>
        <v/>
      </c>
    </row>
    <row r="58" customFormat="false" ht="15" hidden="false" customHeight="false" outlineLevel="0" collapsed="false">
      <c r="A58" s="43" t="str">
        <f aca="false">IF(예산!A58="","",예산!A58)</f>
        <v/>
      </c>
      <c r="B58" s="43" t="str">
        <f aca="false">IF(예산!B58="","",예산!B58)</f>
        <v/>
      </c>
      <c r="C58" s="43" t="str">
        <f aca="false">IF(예산!C58="","",예산!C58)</f>
        <v/>
      </c>
      <c r="D58" s="9" t="str">
        <f aca="false">IF($A58="","",SUMIFS(INDEX(예산!$D$5:$O$204,0,설정!$B$4),예산!$A$5:$A$204,$A58))</f>
        <v/>
      </c>
      <c r="E58" s="9" t="str">
        <f aca="false">IF($A58="","",SUMIFS(INDEX(실적!$D$5:$O$204,0,설정!$B$4),실적!$A$5:$A$204,$A58))</f>
        <v/>
      </c>
      <c r="F58" s="9" t="str">
        <f aca="false">IF($A58="","",E58-D58)</f>
        <v/>
      </c>
      <c r="G58" s="10" t="str">
        <f aca="false">IF($A58="","",IF(D58=0,"n/a",F58/ABS(D58)))</f>
        <v/>
      </c>
      <c r="H58" s="11" t="str">
        <f aca="false">IF($A58="","",IF(F58=0,"-",IF((C58="매출")=(F58&gt;0),"유리","불리")))</f>
        <v/>
      </c>
      <c r="I58" s="9" t="str">
        <f aca="false">IF($A58="","",SUMPRODUCT((예산!$A$5:$A$204=$A58)*(COLUMN(예산!$D$4:$O$4)-COLUMN(예산!$D$4)+1&lt;=설정!$B$4)*예산!$D$5:$O$204))</f>
        <v/>
      </c>
      <c r="J58" s="9" t="str">
        <f aca="false">IF($A58="","",SUMPRODUCT((실적!$A$5:$A$204=$A58)*(COLUMN(실적!$D$4:$O$4)-COLUMN(실적!$D$4)+1&lt;=설정!$B$4)*실적!$D$5:$O$204))</f>
        <v/>
      </c>
      <c r="K58" s="9" t="str">
        <f aca="false">IF($A58="","",J58-I58)</f>
        <v/>
      </c>
      <c r="L58" s="10" t="str">
        <f aca="false">IF($A58="","",IF(I58=0,"n/a",K58/ABS(I58)))</f>
        <v/>
      </c>
      <c r="M58" s="11" t="str">
        <f aca="false">IF($A58="","",IF(K58=0,"-",IF((C58="매출")=(K58&gt;0),"유리","불리")))</f>
        <v/>
      </c>
      <c r="N58" s="18" t="str">
        <f aca="false">IF($A58="","",IF(AND(ABS(F58)&gt;=설정!$B$5,OR(D58=0,ABS(IF(D58=0,0,F58/D58))&gt;=설정!$B$6)),"●",""))</f>
        <v/>
      </c>
      <c r="O58" s="31"/>
      <c r="P58" s="44" t="str">
        <f aca="false">IF($A58="","",IF(N58="","",B58&amp;": 당월 실적 "&amp;TEXT(E58,"#,##0")&amp;설정!$B$7&amp;"으로 예산 대비 "&amp;TEXT(ABS(F58),"#,##0")&amp;설정!$B$7&amp;"("&amp;IF(D58=0,"예산 없음",TEXT(ABS(G58),"0.0%"))&amp;") "&amp;IF(C58="매출",IF(F58&gt;0,"상회","하회"),IF(F58&gt;0,"초과","절감"))&amp;" ["&amp;H58&amp;"]. 원인: "&amp;IF(O58="","___",O58)))</f>
        <v/>
      </c>
      <c r="Q58" s="45" t="str">
        <f aca="false">IF($A58="","",IF(N58="●",ABS(F58)+ROW()/1000000,0))</f>
        <v/>
      </c>
    </row>
    <row r="59" customFormat="false" ht="15" hidden="false" customHeight="false" outlineLevel="0" collapsed="false">
      <c r="A59" s="43" t="str">
        <f aca="false">IF(예산!A59="","",예산!A59)</f>
        <v/>
      </c>
      <c r="B59" s="43" t="str">
        <f aca="false">IF(예산!B59="","",예산!B59)</f>
        <v/>
      </c>
      <c r="C59" s="43" t="str">
        <f aca="false">IF(예산!C59="","",예산!C59)</f>
        <v/>
      </c>
      <c r="D59" s="9" t="str">
        <f aca="false">IF($A59="","",SUMIFS(INDEX(예산!$D$5:$O$204,0,설정!$B$4),예산!$A$5:$A$204,$A59))</f>
        <v/>
      </c>
      <c r="E59" s="9" t="str">
        <f aca="false">IF($A59="","",SUMIFS(INDEX(실적!$D$5:$O$204,0,설정!$B$4),실적!$A$5:$A$204,$A59))</f>
        <v/>
      </c>
      <c r="F59" s="9" t="str">
        <f aca="false">IF($A59="","",E59-D59)</f>
        <v/>
      </c>
      <c r="G59" s="10" t="str">
        <f aca="false">IF($A59="","",IF(D59=0,"n/a",F59/ABS(D59)))</f>
        <v/>
      </c>
      <c r="H59" s="11" t="str">
        <f aca="false">IF($A59="","",IF(F59=0,"-",IF((C59="매출")=(F59&gt;0),"유리","불리")))</f>
        <v/>
      </c>
      <c r="I59" s="9" t="str">
        <f aca="false">IF($A59="","",SUMPRODUCT((예산!$A$5:$A$204=$A59)*(COLUMN(예산!$D$4:$O$4)-COLUMN(예산!$D$4)+1&lt;=설정!$B$4)*예산!$D$5:$O$204))</f>
        <v/>
      </c>
      <c r="J59" s="9" t="str">
        <f aca="false">IF($A59="","",SUMPRODUCT((실적!$A$5:$A$204=$A59)*(COLUMN(실적!$D$4:$O$4)-COLUMN(실적!$D$4)+1&lt;=설정!$B$4)*실적!$D$5:$O$204))</f>
        <v/>
      </c>
      <c r="K59" s="9" t="str">
        <f aca="false">IF($A59="","",J59-I59)</f>
        <v/>
      </c>
      <c r="L59" s="10" t="str">
        <f aca="false">IF($A59="","",IF(I59=0,"n/a",K59/ABS(I59)))</f>
        <v/>
      </c>
      <c r="M59" s="11" t="str">
        <f aca="false">IF($A59="","",IF(K59=0,"-",IF((C59="매출")=(K59&gt;0),"유리","불리")))</f>
        <v/>
      </c>
      <c r="N59" s="18" t="str">
        <f aca="false">IF($A59="","",IF(AND(ABS(F59)&gt;=설정!$B$5,OR(D59=0,ABS(IF(D59=0,0,F59/D59))&gt;=설정!$B$6)),"●",""))</f>
        <v/>
      </c>
      <c r="O59" s="31"/>
      <c r="P59" s="44" t="str">
        <f aca="false">IF($A59="","",IF(N59="","",B59&amp;": 당월 실적 "&amp;TEXT(E59,"#,##0")&amp;설정!$B$7&amp;"으로 예산 대비 "&amp;TEXT(ABS(F59),"#,##0")&amp;설정!$B$7&amp;"("&amp;IF(D59=0,"예산 없음",TEXT(ABS(G59),"0.0%"))&amp;") "&amp;IF(C59="매출",IF(F59&gt;0,"상회","하회"),IF(F59&gt;0,"초과","절감"))&amp;" ["&amp;H59&amp;"]. 원인: "&amp;IF(O59="","___",O59)))</f>
        <v/>
      </c>
      <c r="Q59" s="45" t="str">
        <f aca="false">IF($A59="","",IF(N59="●",ABS(F59)+ROW()/1000000,0))</f>
        <v/>
      </c>
    </row>
    <row r="60" customFormat="false" ht="15" hidden="false" customHeight="false" outlineLevel="0" collapsed="false">
      <c r="A60" s="43" t="str">
        <f aca="false">IF(예산!A60="","",예산!A60)</f>
        <v/>
      </c>
      <c r="B60" s="43" t="str">
        <f aca="false">IF(예산!B60="","",예산!B60)</f>
        <v/>
      </c>
      <c r="C60" s="43" t="str">
        <f aca="false">IF(예산!C60="","",예산!C60)</f>
        <v/>
      </c>
      <c r="D60" s="9" t="str">
        <f aca="false">IF($A60="","",SUMIFS(INDEX(예산!$D$5:$O$204,0,설정!$B$4),예산!$A$5:$A$204,$A60))</f>
        <v/>
      </c>
      <c r="E60" s="9" t="str">
        <f aca="false">IF($A60="","",SUMIFS(INDEX(실적!$D$5:$O$204,0,설정!$B$4),실적!$A$5:$A$204,$A60))</f>
        <v/>
      </c>
      <c r="F60" s="9" t="str">
        <f aca="false">IF($A60="","",E60-D60)</f>
        <v/>
      </c>
      <c r="G60" s="10" t="str">
        <f aca="false">IF($A60="","",IF(D60=0,"n/a",F60/ABS(D60)))</f>
        <v/>
      </c>
      <c r="H60" s="11" t="str">
        <f aca="false">IF($A60="","",IF(F60=0,"-",IF((C60="매출")=(F60&gt;0),"유리","불리")))</f>
        <v/>
      </c>
      <c r="I60" s="9" t="str">
        <f aca="false">IF($A60="","",SUMPRODUCT((예산!$A$5:$A$204=$A60)*(COLUMN(예산!$D$4:$O$4)-COLUMN(예산!$D$4)+1&lt;=설정!$B$4)*예산!$D$5:$O$204))</f>
        <v/>
      </c>
      <c r="J60" s="9" t="str">
        <f aca="false">IF($A60="","",SUMPRODUCT((실적!$A$5:$A$204=$A60)*(COLUMN(실적!$D$4:$O$4)-COLUMN(실적!$D$4)+1&lt;=설정!$B$4)*실적!$D$5:$O$204))</f>
        <v/>
      </c>
      <c r="K60" s="9" t="str">
        <f aca="false">IF($A60="","",J60-I60)</f>
        <v/>
      </c>
      <c r="L60" s="10" t="str">
        <f aca="false">IF($A60="","",IF(I60=0,"n/a",K60/ABS(I60)))</f>
        <v/>
      </c>
      <c r="M60" s="11" t="str">
        <f aca="false">IF($A60="","",IF(K60=0,"-",IF((C60="매출")=(K60&gt;0),"유리","불리")))</f>
        <v/>
      </c>
      <c r="N60" s="18" t="str">
        <f aca="false">IF($A60="","",IF(AND(ABS(F60)&gt;=설정!$B$5,OR(D60=0,ABS(IF(D60=0,0,F60/D60))&gt;=설정!$B$6)),"●",""))</f>
        <v/>
      </c>
      <c r="O60" s="31"/>
      <c r="P60" s="44" t="str">
        <f aca="false">IF($A60="","",IF(N60="","",B60&amp;": 당월 실적 "&amp;TEXT(E60,"#,##0")&amp;설정!$B$7&amp;"으로 예산 대비 "&amp;TEXT(ABS(F60),"#,##0")&amp;설정!$B$7&amp;"("&amp;IF(D60=0,"예산 없음",TEXT(ABS(G60),"0.0%"))&amp;") "&amp;IF(C60="매출",IF(F60&gt;0,"상회","하회"),IF(F60&gt;0,"초과","절감"))&amp;" ["&amp;H60&amp;"]. 원인: "&amp;IF(O60="","___",O60)))</f>
        <v/>
      </c>
      <c r="Q60" s="45" t="str">
        <f aca="false">IF($A60="","",IF(N60="●",ABS(F60)+ROW()/1000000,0))</f>
        <v/>
      </c>
    </row>
    <row r="61" customFormat="false" ht="15" hidden="false" customHeight="false" outlineLevel="0" collapsed="false">
      <c r="A61" s="43" t="str">
        <f aca="false">IF(예산!A61="","",예산!A61)</f>
        <v/>
      </c>
      <c r="B61" s="43" t="str">
        <f aca="false">IF(예산!B61="","",예산!B61)</f>
        <v/>
      </c>
      <c r="C61" s="43" t="str">
        <f aca="false">IF(예산!C61="","",예산!C61)</f>
        <v/>
      </c>
      <c r="D61" s="9" t="str">
        <f aca="false">IF($A61="","",SUMIFS(INDEX(예산!$D$5:$O$204,0,설정!$B$4),예산!$A$5:$A$204,$A61))</f>
        <v/>
      </c>
      <c r="E61" s="9" t="str">
        <f aca="false">IF($A61="","",SUMIFS(INDEX(실적!$D$5:$O$204,0,설정!$B$4),실적!$A$5:$A$204,$A61))</f>
        <v/>
      </c>
      <c r="F61" s="9" t="str">
        <f aca="false">IF($A61="","",E61-D61)</f>
        <v/>
      </c>
      <c r="G61" s="10" t="str">
        <f aca="false">IF($A61="","",IF(D61=0,"n/a",F61/ABS(D61)))</f>
        <v/>
      </c>
      <c r="H61" s="11" t="str">
        <f aca="false">IF($A61="","",IF(F61=0,"-",IF((C61="매출")=(F61&gt;0),"유리","불리")))</f>
        <v/>
      </c>
      <c r="I61" s="9" t="str">
        <f aca="false">IF($A61="","",SUMPRODUCT((예산!$A$5:$A$204=$A61)*(COLUMN(예산!$D$4:$O$4)-COLUMN(예산!$D$4)+1&lt;=설정!$B$4)*예산!$D$5:$O$204))</f>
        <v/>
      </c>
      <c r="J61" s="9" t="str">
        <f aca="false">IF($A61="","",SUMPRODUCT((실적!$A$5:$A$204=$A61)*(COLUMN(실적!$D$4:$O$4)-COLUMN(실적!$D$4)+1&lt;=설정!$B$4)*실적!$D$5:$O$204))</f>
        <v/>
      </c>
      <c r="K61" s="9" t="str">
        <f aca="false">IF($A61="","",J61-I61)</f>
        <v/>
      </c>
      <c r="L61" s="10" t="str">
        <f aca="false">IF($A61="","",IF(I61=0,"n/a",K61/ABS(I61)))</f>
        <v/>
      </c>
      <c r="M61" s="11" t="str">
        <f aca="false">IF($A61="","",IF(K61=0,"-",IF((C61="매출")=(K61&gt;0),"유리","불리")))</f>
        <v/>
      </c>
      <c r="N61" s="18" t="str">
        <f aca="false">IF($A61="","",IF(AND(ABS(F61)&gt;=설정!$B$5,OR(D61=0,ABS(IF(D61=0,0,F61/D61))&gt;=설정!$B$6)),"●",""))</f>
        <v/>
      </c>
      <c r="O61" s="31"/>
      <c r="P61" s="44" t="str">
        <f aca="false">IF($A61="","",IF(N61="","",B61&amp;": 당월 실적 "&amp;TEXT(E61,"#,##0")&amp;설정!$B$7&amp;"으로 예산 대비 "&amp;TEXT(ABS(F61),"#,##0")&amp;설정!$B$7&amp;"("&amp;IF(D61=0,"예산 없음",TEXT(ABS(G61),"0.0%"))&amp;") "&amp;IF(C61="매출",IF(F61&gt;0,"상회","하회"),IF(F61&gt;0,"초과","절감"))&amp;" ["&amp;H61&amp;"]. 원인: "&amp;IF(O61="","___",O61)))</f>
        <v/>
      </c>
      <c r="Q61" s="45" t="str">
        <f aca="false">IF($A61="","",IF(N61="●",ABS(F61)+ROW()/1000000,0))</f>
        <v/>
      </c>
    </row>
    <row r="62" customFormat="false" ht="15" hidden="false" customHeight="false" outlineLevel="0" collapsed="false">
      <c r="A62" s="43" t="str">
        <f aca="false">IF(예산!A62="","",예산!A62)</f>
        <v/>
      </c>
      <c r="B62" s="43" t="str">
        <f aca="false">IF(예산!B62="","",예산!B62)</f>
        <v/>
      </c>
      <c r="C62" s="43" t="str">
        <f aca="false">IF(예산!C62="","",예산!C62)</f>
        <v/>
      </c>
      <c r="D62" s="9" t="str">
        <f aca="false">IF($A62="","",SUMIFS(INDEX(예산!$D$5:$O$204,0,설정!$B$4),예산!$A$5:$A$204,$A62))</f>
        <v/>
      </c>
      <c r="E62" s="9" t="str">
        <f aca="false">IF($A62="","",SUMIFS(INDEX(실적!$D$5:$O$204,0,설정!$B$4),실적!$A$5:$A$204,$A62))</f>
        <v/>
      </c>
      <c r="F62" s="9" t="str">
        <f aca="false">IF($A62="","",E62-D62)</f>
        <v/>
      </c>
      <c r="G62" s="10" t="str">
        <f aca="false">IF($A62="","",IF(D62=0,"n/a",F62/ABS(D62)))</f>
        <v/>
      </c>
      <c r="H62" s="11" t="str">
        <f aca="false">IF($A62="","",IF(F62=0,"-",IF((C62="매출")=(F62&gt;0),"유리","불리")))</f>
        <v/>
      </c>
      <c r="I62" s="9" t="str">
        <f aca="false">IF($A62="","",SUMPRODUCT((예산!$A$5:$A$204=$A62)*(COLUMN(예산!$D$4:$O$4)-COLUMN(예산!$D$4)+1&lt;=설정!$B$4)*예산!$D$5:$O$204))</f>
        <v/>
      </c>
      <c r="J62" s="9" t="str">
        <f aca="false">IF($A62="","",SUMPRODUCT((실적!$A$5:$A$204=$A62)*(COLUMN(실적!$D$4:$O$4)-COLUMN(실적!$D$4)+1&lt;=설정!$B$4)*실적!$D$5:$O$204))</f>
        <v/>
      </c>
      <c r="K62" s="9" t="str">
        <f aca="false">IF($A62="","",J62-I62)</f>
        <v/>
      </c>
      <c r="L62" s="10" t="str">
        <f aca="false">IF($A62="","",IF(I62=0,"n/a",K62/ABS(I62)))</f>
        <v/>
      </c>
      <c r="M62" s="11" t="str">
        <f aca="false">IF($A62="","",IF(K62=0,"-",IF((C62="매출")=(K62&gt;0),"유리","불리")))</f>
        <v/>
      </c>
      <c r="N62" s="18" t="str">
        <f aca="false">IF($A62="","",IF(AND(ABS(F62)&gt;=설정!$B$5,OR(D62=0,ABS(IF(D62=0,0,F62/D62))&gt;=설정!$B$6)),"●",""))</f>
        <v/>
      </c>
      <c r="O62" s="31"/>
      <c r="P62" s="44" t="str">
        <f aca="false">IF($A62="","",IF(N62="","",B62&amp;": 당월 실적 "&amp;TEXT(E62,"#,##0")&amp;설정!$B$7&amp;"으로 예산 대비 "&amp;TEXT(ABS(F62),"#,##0")&amp;설정!$B$7&amp;"("&amp;IF(D62=0,"예산 없음",TEXT(ABS(G62),"0.0%"))&amp;") "&amp;IF(C62="매출",IF(F62&gt;0,"상회","하회"),IF(F62&gt;0,"초과","절감"))&amp;" ["&amp;H62&amp;"]. 원인: "&amp;IF(O62="","___",O62)))</f>
        <v/>
      </c>
      <c r="Q62" s="45" t="str">
        <f aca="false">IF($A62="","",IF(N62="●",ABS(F62)+ROW()/1000000,0))</f>
        <v/>
      </c>
    </row>
    <row r="63" customFormat="false" ht="15" hidden="false" customHeight="false" outlineLevel="0" collapsed="false">
      <c r="A63" s="43" t="str">
        <f aca="false">IF(예산!A63="","",예산!A63)</f>
        <v/>
      </c>
      <c r="B63" s="43" t="str">
        <f aca="false">IF(예산!B63="","",예산!B63)</f>
        <v/>
      </c>
      <c r="C63" s="43" t="str">
        <f aca="false">IF(예산!C63="","",예산!C63)</f>
        <v/>
      </c>
      <c r="D63" s="9" t="str">
        <f aca="false">IF($A63="","",SUMIFS(INDEX(예산!$D$5:$O$204,0,설정!$B$4),예산!$A$5:$A$204,$A63))</f>
        <v/>
      </c>
      <c r="E63" s="9" t="str">
        <f aca="false">IF($A63="","",SUMIFS(INDEX(실적!$D$5:$O$204,0,설정!$B$4),실적!$A$5:$A$204,$A63))</f>
        <v/>
      </c>
      <c r="F63" s="9" t="str">
        <f aca="false">IF($A63="","",E63-D63)</f>
        <v/>
      </c>
      <c r="G63" s="10" t="str">
        <f aca="false">IF($A63="","",IF(D63=0,"n/a",F63/ABS(D63)))</f>
        <v/>
      </c>
      <c r="H63" s="11" t="str">
        <f aca="false">IF($A63="","",IF(F63=0,"-",IF((C63="매출")=(F63&gt;0),"유리","불리")))</f>
        <v/>
      </c>
      <c r="I63" s="9" t="str">
        <f aca="false">IF($A63="","",SUMPRODUCT((예산!$A$5:$A$204=$A63)*(COLUMN(예산!$D$4:$O$4)-COLUMN(예산!$D$4)+1&lt;=설정!$B$4)*예산!$D$5:$O$204))</f>
        <v/>
      </c>
      <c r="J63" s="9" t="str">
        <f aca="false">IF($A63="","",SUMPRODUCT((실적!$A$5:$A$204=$A63)*(COLUMN(실적!$D$4:$O$4)-COLUMN(실적!$D$4)+1&lt;=설정!$B$4)*실적!$D$5:$O$204))</f>
        <v/>
      </c>
      <c r="K63" s="9" t="str">
        <f aca="false">IF($A63="","",J63-I63)</f>
        <v/>
      </c>
      <c r="L63" s="10" t="str">
        <f aca="false">IF($A63="","",IF(I63=0,"n/a",K63/ABS(I63)))</f>
        <v/>
      </c>
      <c r="M63" s="11" t="str">
        <f aca="false">IF($A63="","",IF(K63=0,"-",IF((C63="매출")=(K63&gt;0),"유리","불리")))</f>
        <v/>
      </c>
      <c r="N63" s="18" t="str">
        <f aca="false">IF($A63="","",IF(AND(ABS(F63)&gt;=설정!$B$5,OR(D63=0,ABS(IF(D63=0,0,F63/D63))&gt;=설정!$B$6)),"●",""))</f>
        <v/>
      </c>
      <c r="O63" s="31"/>
      <c r="P63" s="44" t="str">
        <f aca="false">IF($A63="","",IF(N63="","",B63&amp;": 당월 실적 "&amp;TEXT(E63,"#,##0")&amp;설정!$B$7&amp;"으로 예산 대비 "&amp;TEXT(ABS(F63),"#,##0")&amp;설정!$B$7&amp;"("&amp;IF(D63=0,"예산 없음",TEXT(ABS(G63),"0.0%"))&amp;") "&amp;IF(C63="매출",IF(F63&gt;0,"상회","하회"),IF(F63&gt;0,"초과","절감"))&amp;" ["&amp;H63&amp;"]. 원인: "&amp;IF(O63="","___",O63)))</f>
        <v/>
      </c>
      <c r="Q63" s="45" t="str">
        <f aca="false">IF($A63="","",IF(N63="●",ABS(F63)+ROW()/1000000,0))</f>
        <v/>
      </c>
    </row>
    <row r="64" customFormat="false" ht="15" hidden="false" customHeight="false" outlineLevel="0" collapsed="false">
      <c r="A64" s="43" t="str">
        <f aca="false">IF(예산!A64="","",예산!A64)</f>
        <v/>
      </c>
      <c r="B64" s="43" t="str">
        <f aca="false">IF(예산!B64="","",예산!B64)</f>
        <v/>
      </c>
      <c r="C64" s="43" t="str">
        <f aca="false">IF(예산!C64="","",예산!C64)</f>
        <v/>
      </c>
      <c r="D64" s="9" t="str">
        <f aca="false">IF($A64="","",SUMIFS(INDEX(예산!$D$5:$O$204,0,설정!$B$4),예산!$A$5:$A$204,$A64))</f>
        <v/>
      </c>
      <c r="E64" s="9" t="str">
        <f aca="false">IF($A64="","",SUMIFS(INDEX(실적!$D$5:$O$204,0,설정!$B$4),실적!$A$5:$A$204,$A64))</f>
        <v/>
      </c>
      <c r="F64" s="9" t="str">
        <f aca="false">IF($A64="","",E64-D64)</f>
        <v/>
      </c>
      <c r="G64" s="10" t="str">
        <f aca="false">IF($A64="","",IF(D64=0,"n/a",F64/ABS(D64)))</f>
        <v/>
      </c>
      <c r="H64" s="11" t="str">
        <f aca="false">IF($A64="","",IF(F64=0,"-",IF((C64="매출")=(F64&gt;0),"유리","불리")))</f>
        <v/>
      </c>
      <c r="I64" s="9" t="str">
        <f aca="false">IF($A64="","",SUMPRODUCT((예산!$A$5:$A$204=$A64)*(COLUMN(예산!$D$4:$O$4)-COLUMN(예산!$D$4)+1&lt;=설정!$B$4)*예산!$D$5:$O$204))</f>
        <v/>
      </c>
      <c r="J64" s="9" t="str">
        <f aca="false">IF($A64="","",SUMPRODUCT((실적!$A$5:$A$204=$A64)*(COLUMN(실적!$D$4:$O$4)-COLUMN(실적!$D$4)+1&lt;=설정!$B$4)*실적!$D$5:$O$204))</f>
        <v/>
      </c>
      <c r="K64" s="9" t="str">
        <f aca="false">IF($A64="","",J64-I64)</f>
        <v/>
      </c>
      <c r="L64" s="10" t="str">
        <f aca="false">IF($A64="","",IF(I64=0,"n/a",K64/ABS(I64)))</f>
        <v/>
      </c>
      <c r="M64" s="11" t="str">
        <f aca="false">IF($A64="","",IF(K64=0,"-",IF((C64="매출")=(K64&gt;0),"유리","불리")))</f>
        <v/>
      </c>
      <c r="N64" s="18" t="str">
        <f aca="false">IF($A64="","",IF(AND(ABS(F64)&gt;=설정!$B$5,OR(D64=0,ABS(IF(D64=0,0,F64/D64))&gt;=설정!$B$6)),"●",""))</f>
        <v/>
      </c>
      <c r="O64" s="31"/>
      <c r="P64" s="44" t="str">
        <f aca="false">IF($A64="","",IF(N64="","",B64&amp;": 당월 실적 "&amp;TEXT(E64,"#,##0")&amp;설정!$B$7&amp;"으로 예산 대비 "&amp;TEXT(ABS(F64),"#,##0")&amp;설정!$B$7&amp;"("&amp;IF(D64=0,"예산 없음",TEXT(ABS(G64),"0.0%"))&amp;") "&amp;IF(C64="매출",IF(F64&gt;0,"상회","하회"),IF(F64&gt;0,"초과","절감"))&amp;" ["&amp;H64&amp;"]. 원인: "&amp;IF(O64="","___",O64)))</f>
        <v/>
      </c>
      <c r="Q64" s="45" t="str">
        <f aca="false">IF($A64="","",IF(N64="●",ABS(F64)+ROW()/1000000,0))</f>
        <v/>
      </c>
    </row>
    <row r="65" customFormat="false" ht="15" hidden="false" customHeight="false" outlineLevel="0" collapsed="false">
      <c r="A65" s="43" t="str">
        <f aca="false">IF(예산!A65="","",예산!A65)</f>
        <v/>
      </c>
      <c r="B65" s="43" t="str">
        <f aca="false">IF(예산!B65="","",예산!B65)</f>
        <v/>
      </c>
      <c r="C65" s="43" t="str">
        <f aca="false">IF(예산!C65="","",예산!C65)</f>
        <v/>
      </c>
      <c r="D65" s="9" t="str">
        <f aca="false">IF($A65="","",SUMIFS(INDEX(예산!$D$5:$O$204,0,설정!$B$4),예산!$A$5:$A$204,$A65))</f>
        <v/>
      </c>
      <c r="E65" s="9" t="str">
        <f aca="false">IF($A65="","",SUMIFS(INDEX(실적!$D$5:$O$204,0,설정!$B$4),실적!$A$5:$A$204,$A65))</f>
        <v/>
      </c>
      <c r="F65" s="9" t="str">
        <f aca="false">IF($A65="","",E65-D65)</f>
        <v/>
      </c>
      <c r="G65" s="10" t="str">
        <f aca="false">IF($A65="","",IF(D65=0,"n/a",F65/ABS(D65)))</f>
        <v/>
      </c>
      <c r="H65" s="11" t="str">
        <f aca="false">IF($A65="","",IF(F65=0,"-",IF((C65="매출")=(F65&gt;0),"유리","불리")))</f>
        <v/>
      </c>
      <c r="I65" s="9" t="str">
        <f aca="false">IF($A65="","",SUMPRODUCT((예산!$A$5:$A$204=$A65)*(COLUMN(예산!$D$4:$O$4)-COLUMN(예산!$D$4)+1&lt;=설정!$B$4)*예산!$D$5:$O$204))</f>
        <v/>
      </c>
      <c r="J65" s="9" t="str">
        <f aca="false">IF($A65="","",SUMPRODUCT((실적!$A$5:$A$204=$A65)*(COLUMN(실적!$D$4:$O$4)-COLUMN(실적!$D$4)+1&lt;=설정!$B$4)*실적!$D$5:$O$204))</f>
        <v/>
      </c>
      <c r="K65" s="9" t="str">
        <f aca="false">IF($A65="","",J65-I65)</f>
        <v/>
      </c>
      <c r="L65" s="10" t="str">
        <f aca="false">IF($A65="","",IF(I65=0,"n/a",K65/ABS(I65)))</f>
        <v/>
      </c>
      <c r="M65" s="11" t="str">
        <f aca="false">IF($A65="","",IF(K65=0,"-",IF((C65="매출")=(K65&gt;0),"유리","불리")))</f>
        <v/>
      </c>
      <c r="N65" s="18" t="str">
        <f aca="false">IF($A65="","",IF(AND(ABS(F65)&gt;=설정!$B$5,OR(D65=0,ABS(IF(D65=0,0,F65/D65))&gt;=설정!$B$6)),"●",""))</f>
        <v/>
      </c>
      <c r="O65" s="31"/>
      <c r="P65" s="44" t="str">
        <f aca="false">IF($A65="","",IF(N65="","",B65&amp;": 당월 실적 "&amp;TEXT(E65,"#,##0")&amp;설정!$B$7&amp;"으로 예산 대비 "&amp;TEXT(ABS(F65),"#,##0")&amp;설정!$B$7&amp;"("&amp;IF(D65=0,"예산 없음",TEXT(ABS(G65),"0.0%"))&amp;") "&amp;IF(C65="매출",IF(F65&gt;0,"상회","하회"),IF(F65&gt;0,"초과","절감"))&amp;" ["&amp;H65&amp;"]. 원인: "&amp;IF(O65="","___",O65)))</f>
        <v/>
      </c>
      <c r="Q65" s="45" t="str">
        <f aca="false">IF($A65="","",IF(N65="●",ABS(F65)+ROW()/1000000,0))</f>
        <v/>
      </c>
    </row>
    <row r="66" customFormat="false" ht="15" hidden="false" customHeight="false" outlineLevel="0" collapsed="false">
      <c r="A66" s="43" t="str">
        <f aca="false">IF(예산!A66="","",예산!A66)</f>
        <v/>
      </c>
      <c r="B66" s="43" t="str">
        <f aca="false">IF(예산!B66="","",예산!B66)</f>
        <v/>
      </c>
      <c r="C66" s="43" t="str">
        <f aca="false">IF(예산!C66="","",예산!C66)</f>
        <v/>
      </c>
      <c r="D66" s="9" t="str">
        <f aca="false">IF($A66="","",SUMIFS(INDEX(예산!$D$5:$O$204,0,설정!$B$4),예산!$A$5:$A$204,$A66))</f>
        <v/>
      </c>
      <c r="E66" s="9" t="str">
        <f aca="false">IF($A66="","",SUMIFS(INDEX(실적!$D$5:$O$204,0,설정!$B$4),실적!$A$5:$A$204,$A66))</f>
        <v/>
      </c>
      <c r="F66" s="9" t="str">
        <f aca="false">IF($A66="","",E66-D66)</f>
        <v/>
      </c>
      <c r="G66" s="10" t="str">
        <f aca="false">IF($A66="","",IF(D66=0,"n/a",F66/ABS(D66)))</f>
        <v/>
      </c>
      <c r="H66" s="11" t="str">
        <f aca="false">IF($A66="","",IF(F66=0,"-",IF((C66="매출")=(F66&gt;0),"유리","불리")))</f>
        <v/>
      </c>
      <c r="I66" s="9" t="str">
        <f aca="false">IF($A66="","",SUMPRODUCT((예산!$A$5:$A$204=$A66)*(COLUMN(예산!$D$4:$O$4)-COLUMN(예산!$D$4)+1&lt;=설정!$B$4)*예산!$D$5:$O$204))</f>
        <v/>
      </c>
      <c r="J66" s="9" t="str">
        <f aca="false">IF($A66="","",SUMPRODUCT((실적!$A$5:$A$204=$A66)*(COLUMN(실적!$D$4:$O$4)-COLUMN(실적!$D$4)+1&lt;=설정!$B$4)*실적!$D$5:$O$204))</f>
        <v/>
      </c>
      <c r="K66" s="9" t="str">
        <f aca="false">IF($A66="","",J66-I66)</f>
        <v/>
      </c>
      <c r="L66" s="10" t="str">
        <f aca="false">IF($A66="","",IF(I66=0,"n/a",K66/ABS(I66)))</f>
        <v/>
      </c>
      <c r="M66" s="11" t="str">
        <f aca="false">IF($A66="","",IF(K66=0,"-",IF((C66="매출")=(K66&gt;0),"유리","불리")))</f>
        <v/>
      </c>
      <c r="N66" s="18" t="str">
        <f aca="false">IF($A66="","",IF(AND(ABS(F66)&gt;=설정!$B$5,OR(D66=0,ABS(IF(D66=0,0,F66/D66))&gt;=설정!$B$6)),"●",""))</f>
        <v/>
      </c>
      <c r="O66" s="31"/>
      <c r="P66" s="44" t="str">
        <f aca="false">IF($A66="","",IF(N66="","",B66&amp;": 당월 실적 "&amp;TEXT(E66,"#,##0")&amp;설정!$B$7&amp;"으로 예산 대비 "&amp;TEXT(ABS(F66),"#,##0")&amp;설정!$B$7&amp;"("&amp;IF(D66=0,"예산 없음",TEXT(ABS(G66),"0.0%"))&amp;") "&amp;IF(C66="매출",IF(F66&gt;0,"상회","하회"),IF(F66&gt;0,"초과","절감"))&amp;" ["&amp;H66&amp;"]. 원인: "&amp;IF(O66="","___",O66)))</f>
        <v/>
      </c>
      <c r="Q66" s="45" t="str">
        <f aca="false">IF($A66="","",IF(N66="●",ABS(F66)+ROW()/1000000,0))</f>
        <v/>
      </c>
    </row>
    <row r="67" customFormat="false" ht="15" hidden="false" customHeight="false" outlineLevel="0" collapsed="false">
      <c r="A67" s="43" t="str">
        <f aca="false">IF(예산!A67="","",예산!A67)</f>
        <v/>
      </c>
      <c r="B67" s="43" t="str">
        <f aca="false">IF(예산!B67="","",예산!B67)</f>
        <v/>
      </c>
      <c r="C67" s="43" t="str">
        <f aca="false">IF(예산!C67="","",예산!C67)</f>
        <v/>
      </c>
      <c r="D67" s="9" t="str">
        <f aca="false">IF($A67="","",SUMIFS(INDEX(예산!$D$5:$O$204,0,설정!$B$4),예산!$A$5:$A$204,$A67))</f>
        <v/>
      </c>
      <c r="E67" s="9" t="str">
        <f aca="false">IF($A67="","",SUMIFS(INDEX(실적!$D$5:$O$204,0,설정!$B$4),실적!$A$5:$A$204,$A67))</f>
        <v/>
      </c>
      <c r="F67" s="9" t="str">
        <f aca="false">IF($A67="","",E67-D67)</f>
        <v/>
      </c>
      <c r="G67" s="10" t="str">
        <f aca="false">IF($A67="","",IF(D67=0,"n/a",F67/ABS(D67)))</f>
        <v/>
      </c>
      <c r="H67" s="11" t="str">
        <f aca="false">IF($A67="","",IF(F67=0,"-",IF((C67="매출")=(F67&gt;0),"유리","불리")))</f>
        <v/>
      </c>
      <c r="I67" s="9" t="str">
        <f aca="false">IF($A67="","",SUMPRODUCT((예산!$A$5:$A$204=$A67)*(COLUMN(예산!$D$4:$O$4)-COLUMN(예산!$D$4)+1&lt;=설정!$B$4)*예산!$D$5:$O$204))</f>
        <v/>
      </c>
      <c r="J67" s="9" t="str">
        <f aca="false">IF($A67="","",SUMPRODUCT((실적!$A$5:$A$204=$A67)*(COLUMN(실적!$D$4:$O$4)-COLUMN(실적!$D$4)+1&lt;=설정!$B$4)*실적!$D$5:$O$204))</f>
        <v/>
      </c>
      <c r="K67" s="9" t="str">
        <f aca="false">IF($A67="","",J67-I67)</f>
        <v/>
      </c>
      <c r="L67" s="10" t="str">
        <f aca="false">IF($A67="","",IF(I67=0,"n/a",K67/ABS(I67)))</f>
        <v/>
      </c>
      <c r="M67" s="11" t="str">
        <f aca="false">IF($A67="","",IF(K67=0,"-",IF((C67="매출")=(K67&gt;0),"유리","불리")))</f>
        <v/>
      </c>
      <c r="N67" s="18" t="str">
        <f aca="false">IF($A67="","",IF(AND(ABS(F67)&gt;=설정!$B$5,OR(D67=0,ABS(IF(D67=0,0,F67/D67))&gt;=설정!$B$6)),"●",""))</f>
        <v/>
      </c>
      <c r="O67" s="31"/>
      <c r="P67" s="44" t="str">
        <f aca="false">IF($A67="","",IF(N67="","",B67&amp;": 당월 실적 "&amp;TEXT(E67,"#,##0")&amp;설정!$B$7&amp;"으로 예산 대비 "&amp;TEXT(ABS(F67),"#,##0")&amp;설정!$B$7&amp;"("&amp;IF(D67=0,"예산 없음",TEXT(ABS(G67),"0.0%"))&amp;") "&amp;IF(C67="매출",IF(F67&gt;0,"상회","하회"),IF(F67&gt;0,"초과","절감"))&amp;" ["&amp;H67&amp;"]. 원인: "&amp;IF(O67="","___",O67)))</f>
        <v/>
      </c>
      <c r="Q67" s="45" t="str">
        <f aca="false">IF($A67="","",IF(N67="●",ABS(F67)+ROW()/1000000,0))</f>
        <v/>
      </c>
    </row>
    <row r="68" customFormat="false" ht="15" hidden="false" customHeight="false" outlineLevel="0" collapsed="false">
      <c r="A68" s="43" t="str">
        <f aca="false">IF(예산!A68="","",예산!A68)</f>
        <v/>
      </c>
      <c r="B68" s="43" t="str">
        <f aca="false">IF(예산!B68="","",예산!B68)</f>
        <v/>
      </c>
      <c r="C68" s="43" t="str">
        <f aca="false">IF(예산!C68="","",예산!C68)</f>
        <v/>
      </c>
      <c r="D68" s="9" t="str">
        <f aca="false">IF($A68="","",SUMIFS(INDEX(예산!$D$5:$O$204,0,설정!$B$4),예산!$A$5:$A$204,$A68))</f>
        <v/>
      </c>
      <c r="E68" s="9" t="str">
        <f aca="false">IF($A68="","",SUMIFS(INDEX(실적!$D$5:$O$204,0,설정!$B$4),실적!$A$5:$A$204,$A68))</f>
        <v/>
      </c>
      <c r="F68" s="9" t="str">
        <f aca="false">IF($A68="","",E68-D68)</f>
        <v/>
      </c>
      <c r="G68" s="10" t="str">
        <f aca="false">IF($A68="","",IF(D68=0,"n/a",F68/ABS(D68)))</f>
        <v/>
      </c>
      <c r="H68" s="11" t="str">
        <f aca="false">IF($A68="","",IF(F68=0,"-",IF((C68="매출")=(F68&gt;0),"유리","불리")))</f>
        <v/>
      </c>
      <c r="I68" s="9" t="str">
        <f aca="false">IF($A68="","",SUMPRODUCT((예산!$A$5:$A$204=$A68)*(COLUMN(예산!$D$4:$O$4)-COLUMN(예산!$D$4)+1&lt;=설정!$B$4)*예산!$D$5:$O$204))</f>
        <v/>
      </c>
      <c r="J68" s="9" t="str">
        <f aca="false">IF($A68="","",SUMPRODUCT((실적!$A$5:$A$204=$A68)*(COLUMN(실적!$D$4:$O$4)-COLUMN(실적!$D$4)+1&lt;=설정!$B$4)*실적!$D$5:$O$204))</f>
        <v/>
      </c>
      <c r="K68" s="9" t="str">
        <f aca="false">IF($A68="","",J68-I68)</f>
        <v/>
      </c>
      <c r="L68" s="10" t="str">
        <f aca="false">IF($A68="","",IF(I68=0,"n/a",K68/ABS(I68)))</f>
        <v/>
      </c>
      <c r="M68" s="11" t="str">
        <f aca="false">IF($A68="","",IF(K68=0,"-",IF((C68="매출")=(K68&gt;0),"유리","불리")))</f>
        <v/>
      </c>
      <c r="N68" s="18" t="str">
        <f aca="false">IF($A68="","",IF(AND(ABS(F68)&gt;=설정!$B$5,OR(D68=0,ABS(IF(D68=0,0,F68/D68))&gt;=설정!$B$6)),"●",""))</f>
        <v/>
      </c>
      <c r="O68" s="31"/>
      <c r="P68" s="44" t="str">
        <f aca="false">IF($A68="","",IF(N68="","",B68&amp;": 당월 실적 "&amp;TEXT(E68,"#,##0")&amp;설정!$B$7&amp;"으로 예산 대비 "&amp;TEXT(ABS(F68),"#,##0")&amp;설정!$B$7&amp;"("&amp;IF(D68=0,"예산 없음",TEXT(ABS(G68),"0.0%"))&amp;") "&amp;IF(C68="매출",IF(F68&gt;0,"상회","하회"),IF(F68&gt;0,"초과","절감"))&amp;" ["&amp;H68&amp;"]. 원인: "&amp;IF(O68="","___",O68)))</f>
        <v/>
      </c>
      <c r="Q68" s="45" t="str">
        <f aca="false">IF($A68="","",IF(N68="●",ABS(F68)+ROW()/1000000,0))</f>
        <v/>
      </c>
    </row>
    <row r="69" customFormat="false" ht="15" hidden="false" customHeight="false" outlineLevel="0" collapsed="false">
      <c r="A69" s="43" t="str">
        <f aca="false">IF(예산!A69="","",예산!A69)</f>
        <v/>
      </c>
      <c r="B69" s="43" t="str">
        <f aca="false">IF(예산!B69="","",예산!B69)</f>
        <v/>
      </c>
      <c r="C69" s="43" t="str">
        <f aca="false">IF(예산!C69="","",예산!C69)</f>
        <v/>
      </c>
      <c r="D69" s="9" t="str">
        <f aca="false">IF($A69="","",SUMIFS(INDEX(예산!$D$5:$O$204,0,설정!$B$4),예산!$A$5:$A$204,$A69))</f>
        <v/>
      </c>
      <c r="E69" s="9" t="str">
        <f aca="false">IF($A69="","",SUMIFS(INDEX(실적!$D$5:$O$204,0,설정!$B$4),실적!$A$5:$A$204,$A69))</f>
        <v/>
      </c>
      <c r="F69" s="9" t="str">
        <f aca="false">IF($A69="","",E69-D69)</f>
        <v/>
      </c>
      <c r="G69" s="10" t="str">
        <f aca="false">IF($A69="","",IF(D69=0,"n/a",F69/ABS(D69)))</f>
        <v/>
      </c>
      <c r="H69" s="11" t="str">
        <f aca="false">IF($A69="","",IF(F69=0,"-",IF((C69="매출")=(F69&gt;0),"유리","불리")))</f>
        <v/>
      </c>
      <c r="I69" s="9" t="str">
        <f aca="false">IF($A69="","",SUMPRODUCT((예산!$A$5:$A$204=$A69)*(COLUMN(예산!$D$4:$O$4)-COLUMN(예산!$D$4)+1&lt;=설정!$B$4)*예산!$D$5:$O$204))</f>
        <v/>
      </c>
      <c r="J69" s="9" t="str">
        <f aca="false">IF($A69="","",SUMPRODUCT((실적!$A$5:$A$204=$A69)*(COLUMN(실적!$D$4:$O$4)-COLUMN(실적!$D$4)+1&lt;=설정!$B$4)*실적!$D$5:$O$204))</f>
        <v/>
      </c>
      <c r="K69" s="9" t="str">
        <f aca="false">IF($A69="","",J69-I69)</f>
        <v/>
      </c>
      <c r="L69" s="10" t="str">
        <f aca="false">IF($A69="","",IF(I69=0,"n/a",K69/ABS(I69)))</f>
        <v/>
      </c>
      <c r="M69" s="11" t="str">
        <f aca="false">IF($A69="","",IF(K69=0,"-",IF((C69="매출")=(K69&gt;0),"유리","불리")))</f>
        <v/>
      </c>
      <c r="N69" s="18" t="str">
        <f aca="false">IF($A69="","",IF(AND(ABS(F69)&gt;=설정!$B$5,OR(D69=0,ABS(IF(D69=0,0,F69/D69))&gt;=설정!$B$6)),"●",""))</f>
        <v/>
      </c>
      <c r="O69" s="31"/>
      <c r="P69" s="44" t="str">
        <f aca="false">IF($A69="","",IF(N69="","",B69&amp;": 당월 실적 "&amp;TEXT(E69,"#,##0")&amp;설정!$B$7&amp;"으로 예산 대비 "&amp;TEXT(ABS(F69),"#,##0")&amp;설정!$B$7&amp;"("&amp;IF(D69=0,"예산 없음",TEXT(ABS(G69),"0.0%"))&amp;") "&amp;IF(C69="매출",IF(F69&gt;0,"상회","하회"),IF(F69&gt;0,"초과","절감"))&amp;" ["&amp;H69&amp;"]. 원인: "&amp;IF(O69="","___",O69)))</f>
        <v/>
      </c>
      <c r="Q69" s="45" t="str">
        <f aca="false">IF($A69="","",IF(N69="●",ABS(F69)+ROW()/1000000,0))</f>
        <v/>
      </c>
    </row>
    <row r="70" customFormat="false" ht="15" hidden="false" customHeight="false" outlineLevel="0" collapsed="false">
      <c r="A70" s="43" t="str">
        <f aca="false">IF(예산!A70="","",예산!A70)</f>
        <v/>
      </c>
      <c r="B70" s="43" t="str">
        <f aca="false">IF(예산!B70="","",예산!B70)</f>
        <v/>
      </c>
      <c r="C70" s="43" t="str">
        <f aca="false">IF(예산!C70="","",예산!C70)</f>
        <v/>
      </c>
      <c r="D70" s="9" t="str">
        <f aca="false">IF($A70="","",SUMIFS(INDEX(예산!$D$5:$O$204,0,설정!$B$4),예산!$A$5:$A$204,$A70))</f>
        <v/>
      </c>
      <c r="E70" s="9" t="str">
        <f aca="false">IF($A70="","",SUMIFS(INDEX(실적!$D$5:$O$204,0,설정!$B$4),실적!$A$5:$A$204,$A70))</f>
        <v/>
      </c>
      <c r="F70" s="9" t="str">
        <f aca="false">IF($A70="","",E70-D70)</f>
        <v/>
      </c>
      <c r="G70" s="10" t="str">
        <f aca="false">IF($A70="","",IF(D70=0,"n/a",F70/ABS(D70)))</f>
        <v/>
      </c>
      <c r="H70" s="11" t="str">
        <f aca="false">IF($A70="","",IF(F70=0,"-",IF((C70="매출")=(F70&gt;0),"유리","불리")))</f>
        <v/>
      </c>
      <c r="I70" s="9" t="str">
        <f aca="false">IF($A70="","",SUMPRODUCT((예산!$A$5:$A$204=$A70)*(COLUMN(예산!$D$4:$O$4)-COLUMN(예산!$D$4)+1&lt;=설정!$B$4)*예산!$D$5:$O$204))</f>
        <v/>
      </c>
      <c r="J70" s="9" t="str">
        <f aca="false">IF($A70="","",SUMPRODUCT((실적!$A$5:$A$204=$A70)*(COLUMN(실적!$D$4:$O$4)-COLUMN(실적!$D$4)+1&lt;=설정!$B$4)*실적!$D$5:$O$204))</f>
        <v/>
      </c>
      <c r="K70" s="9" t="str">
        <f aca="false">IF($A70="","",J70-I70)</f>
        <v/>
      </c>
      <c r="L70" s="10" t="str">
        <f aca="false">IF($A70="","",IF(I70=0,"n/a",K70/ABS(I70)))</f>
        <v/>
      </c>
      <c r="M70" s="11" t="str">
        <f aca="false">IF($A70="","",IF(K70=0,"-",IF((C70="매출")=(K70&gt;0),"유리","불리")))</f>
        <v/>
      </c>
      <c r="N70" s="18" t="str">
        <f aca="false">IF($A70="","",IF(AND(ABS(F70)&gt;=설정!$B$5,OR(D70=0,ABS(IF(D70=0,0,F70/D70))&gt;=설정!$B$6)),"●",""))</f>
        <v/>
      </c>
      <c r="O70" s="31"/>
      <c r="P70" s="44" t="str">
        <f aca="false">IF($A70="","",IF(N70="","",B70&amp;": 당월 실적 "&amp;TEXT(E70,"#,##0")&amp;설정!$B$7&amp;"으로 예산 대비 "&amp;TEXT(ABS(F70),"#,##0")&amp;설정!$B$7&amp;"("&amp;IF(D70=0,"예산 없음",TEXT(ABS(G70),"0.0%"))&amp;") "&amp;IF(C70="매출",IF(F70&gt;0,"상회","하회"),IF(F70&gt;0,"초과","절감"))&amp;" ["&amp;H70&amp;"]. 원인: "&amp;IF(O70="","___",O70)))</f>
        <v/>
      </c>
      <c r="Q70" s="45" t="str">
        <f aca="false">IF($A70="","",IF(N70="●",ABS(F70)+ROW()/1000000,0))</f>
        <v/>
      </c>
    </row>
    <row r="71" customFormat="false" ht="15" hidden="false" customHeight="false" outlineLevel="0" collapsed="false">
      <c r="A71" s="43" t="str">
        <f aca="false">IF(예산!A71="","",예산!A71)</f>
        <v/>
      </c>
      <c r="B71" s="43" t="str">
        <f aca="false">IF(예산!B71="","",예산!B71)</f>
        <v/>
      </c>
      <c r="C71" s="43" t="str">
        <f aca="false">IF(예산!C71="","",예산!C71)</f>
        <v/>
      </c>
      <c r="D71" s="9" t="str">
        <f aca="false">IF($A71="","",SUMIFS(INDEX(예산!$D$5:$O$204,0,설정!$B$4),예산!$A$5:$A$204,$A71))</f>
        <v/>
      </c>
      <c r="E71" s="9" t="str">
        <f aca="false">IF($A71="","",SUMIFS(INDEX(실적!$D$5:$O$204,0,설정!$B$4),실적!$A$5:$A$204,$A71))</f>
        <v/>
      </c>
      <c r="F71" s="9" t="str">
        <f aca="false">IF($A71="","",E71-D71)</f>
        <v/>
      </c>
      <c r="G71" s="10" t="str">
        <f aca="false">IF($A71="","",IF(D71=0,"n/a",F71/ABS(D71)))</f>
        <v/>
      </c>
      <c r="H71" s="11" t="str">
        <f aca="false">IF($A71="","",IF(F71=0,"-",IF((C71="매출")=(F71&gt;0),"유리","불리")))</f>
        <v/>
      </c>
      <c r="I71" s="9" t="str">
        <f aca="false">IF($A71="","",SUMPRODUCT((예산!$A$5:$A$204=$A71)*(COLUMN(예산!$D$4:$O$4)-COLUMN(예산!$D$4)+1&lt;=설정!$B$4)*예산!$D$5:$O$204))</f>
        <v/>
      </c>
      <c r="J71" s="9" t="str">
        <f aca="false">IF($A71="","",SUMPRODUCT((실적!$A$5:$A$204=$A71)*(COLUMN(실적!$D$4:$O$4)-COLUMN(실적!$D$4)+1&lt;=설정!$B$4)*실적!$D$5:$O$204))</f>
        <v/>
      </c>
      <c r="K71" s="9" t="str">
        <f aca="false">IF($A71="","",J71-I71)</f>
        <v/>
      </c>
      <c r="L71" s="10" t="str">
        <f aca="false">IF($A71="","",IF(I71=0,"n/a",K71/ABS(I71)))</f>
        <v/>
      </c>
      <c r="M71" s="11" t="str">
        <f aca="false">IF($A71="","",IF(K71=0,"-",IF((C71="매출")=(K71&gt;0),"유리","불리")))</f>
        <v/>
      </c>
      <c r="N71" s="18" t="str">
        <f aca="false">IF($A71="","",IF(AND(ABS(F71)&gt;=설정!$B$5,OR(D71=0,ABS(IF(D71=0,0,F71/D71))&gt;=설정!$B$6)),"●",""))</f>
        <v/>
      </c>
      <c r="O71" s="31"/>
      <c r="P71" s="44" t="str">
        <f aca="false">IF($A71="","",IF(N71="","",B71&amp;": 당월 실적 "&amp;TEXT(E71,"#,##0")&amp;설정!$B$7&amp;"으로 예산 대비 "&amp;TEXT(ABS(F71),"#,##0")&amp;설정!$B$7&amp;"("&amp;IF(D71=0,"예산 없음",TEXT(ABS(G71),"0.0%"))&amp;") "&amp;IF(C71="매출",IF(F71&gt;0,"상회","하회"),IF(F71&gt;0,"초과","절감"))&amp;" ["&amp;H71&amp;"]. 원인: "&amp;IF(O71="","___",O71)))</f>
        <v/>
      </c>
      <c r="Q71" s="45" t="str">
        <f aca="false">IF($A71="","",IF(N71="●",ABS(F71)+ROW()/1000000,0))</f>
        <v/>
      </c>
    </row>
    <row r="72" customFormat="false" ht="15" hidden="false" customHeight="false" outlineLevel="0" collapsed="false">
      <c r="A72" s="43" t="str">
        <f aca="false">IF(예산!A72="","",예산!A72)</f>
        <v/>
      </c>
      <c r="B72" s="43" t="str">
        <f aca="false">IF(예산!B72="","",예산!B72)</f>
        <v/>
      </c>
      <c r="C72" s="43" t="str">
        <f aca="false">IF(예산!C72="","",예산!C72)</f>
        <v/>
      </c>
      <c r="D72" s="9" t="str">
        <f aca="false">IF($A72="","",SUMIFS(INDEX(예산!$D$5:$O$204,0,설정!$B$4),예산!$A$5:$A$204,$A72))</f>
        <v/>
      </c>
      <c r="E72" s="9" t="str">
        <f aca="false">IF($A72="","",SUMIFS(INDEX(실적!$D$5:$O$204,0,설정!$B$4),실적!$A$5:$A$204,$A72))</f>
        <v/>
      </c>
      <c r="F72" s="9" t="str">
        <f aca="false">IF($A72="","",E72-D72)</f>
        <v/>
      </c>
      <c r="G72" s="10" t="str">
        <f aca="false">IF($A72="","",IF(D72=0,"n/a",F72/ABS(D72)))</f>
        <v/>
      </c>
      <c r="H72" s="11" t="str">
        <f aca="false">IF($A72="","",IF(F72=0,"-",IF((C72="매출")=(F72&gt;0),"유리","불리")))</f>
        <v/>
      </c>
      <c r="I72" s="9" t="str">
        <f aca="false">IF($A72="","",SUMPRODUCT((예산!$A$5:$A$204=$A72)*(COLUMN(예산!$D$4:$O$4)-COLUMN(예산!$D$4)+1&lt;=설정!$B$4)*예산!$D$5:$O$204))</f>
        <v/>
      </c>
      <c r="J72" s="9" t="str">
        <f aca="false">IF($A72="","",SUMPRODUCT((실적!$A$5:$A$204=$A72)*(COLUMN(실적!$D$4:$O$4)-COLUMN(실적!$D$4)+1&lt;=설정!$B$4)*실적!$D$5:$O$204))</f>
        <v/>
      </c>
      <c r="K72" s="9" t="str">
        <f aca="false">IF($A72="","",J72-I72)</f>
        <v/>
      </c>
      <c r="L72" s="10" t="str">
        <f aca="false">IF($A72="","",IF(I72=0,"n/a",K72/ABS(I72)))</f>
        <v/>
      </c>
      <c r="M72" s="11" t="str">
        <f aca="false">IF($A72="","",IF(K72=0,"-",IF((C72="매출")=(K72&gt;0),"유리","불리")))</f>
        <v/>
      </c>
      <c r="N72" s="18" t="str">
        <f aca="false">IF($A72="","",IF(AND(ABS(F72)&gt;=설정!$B$5,OR(D72=0,ABS(IF(D72=0,0,F72/D72))&gt;=설정!$B$6)),"●",""))</f>
        <v/>
      </c>
      <c r="O72" s="31"/>
      <c r="P72" s="44" t="str">
        <f aca="false">IF($A72="","",IF(N72="","",B72&amp;": 당월 실적 "&amp;TEXT(E72,"#,##0")&amp;설정!$B$7&amp;"으로 예산 대비 "&amp;TEXT(ABS(F72),"#,##0")&amp;설정!$B$7&amp;"("&amp;IF(D72=0,"예산 없음",TEXT(ABS(G72),"0.0%"))&amp;") "&amp;IF(C72="매출",IF(F72&gt;0,"상회","하회"),IF(F72&gt;0,"초과","절감"))&amp;" ["&amp;H72&amp;"]. 원인: "&amp;IF(O72="","___",O72)))</f>
        <v/>
      </c>
      <c r="Q72" s="45" t="str">
        <f aca="false">IF($A72="","",IF(N72="●",ABS(F72)+ROW()/1000000,0))</f>
        <v/>
      </c>
    </row>
    <row r="73" customFormat="false" ht="15" hidden="false" customHeight="false" outlineLevel="0" collapsed="false">
      <c r="A73" s="43" t="str">
        <f aca="false">IF(예산!A73="","",예산!A73)</f>
        <v/>
      </c>
      <c r="B73" s="43" t="str">
        <f aca="false">IF(예산!B73="","",예산!B73)</f>
        <v/>
      </c>
      <c r="C73" s="43" t="str">
        <f aca="false">IF(예산!C73="","",예산!C73)</f>
        <v/>
      </c>
      <c r="D73" s="9" t="str">
        <f aca="false">IF($A73="","",SUMIFS(INDEX(예산!$D$5:$O$204,0,설정!$B$4),예산!$A$5:$A$204,$A73))</f>
        <v/>
      </c>
      <c r="E73" s="9" t="str">
        <f aca="false">IF($A73="","",SUMIFS(INDEX(실적!$D$5:$O$204,0,설정!$B$4),실적!$A$5:$A$204,$A73))</f>
        <v/>
      </c>
      <c r="F73" s="9" t="str">
        <f aca="false">IF($A73="","",E73-D73)</f>
        <v/>
      </c>
      <c r="G73" s="10" t="str">
        <f aca="false">IF($A73="","",IF(D73=0,"n/a",F73/ABS(D73)))</f>
        <v/>
      </c>
      <c r="H73" s="11" t="str">
        <f aca="false">IF($A73="","",IF(F73=0,"-",IF((C73="매출")=(F73&gt;0),"유리","불리")))</f>
        <v/>
      </c>
      <c r="I73" s="9" t="str">
        <f aca="false">IF($A73="","",SUMPRODUCT((예산!$A$5:$A$204=$A73)*(COLUMN(예산!$D$4:$O$4)-COLUMN(예산!$D$4)+1&lt;=설정!$B$4)*예산!$D$5:$O$204))</f>
        <v/>
      </c>
      <c r="J73" s="9" t="str">
        <f aca="false">IF($A73="","",SUMPRODUCT((실적!$A$5:$A$204=$A73)*(COLUMN(실적!$D$4:$O$4)-COLUMN(실적!$D$4)+1&lt;=설정!$B$4)*실적!$D$5:$O$204))</f>
        <v/>
      </c>
      <c r="K73" s="9" t="str">
        <f aca="false">IF($A73="","",J73-I73)</f>
        <v/>
      </c>
      <c r="L73" s="10" t="str">
        <f aca="false">IF($A73="","",IF(I73=0,"n/a",K73/ABS(I73)))</f>
        <v/>
      </c>
      <c r="M73" s="11" t="str">
        <f aca="false">IF($A73="","",IF(K73=0,"-",IF((C73="매출")=(K73&gt;0),"유리","불리")))</f>
        <v/>
      </c>
      <c r="N73" s="18" t="str">
        <f aca="false">IF($A73="","",IF(AND(ABS(F73)&gt;=설정!$B$5,OR(D73=0,ABS(IF(D73=0,0,F73/D73))&gt;=설정!$B$6)),"●",""))</f>
        <v/>
      </c>
      <c r="O73" s="31"/>
      <c r="P73" s="44" t="str">
        <f aca="false">IF($A73="","",IF(N73="","",B73&amp;": 당월 실적 "&amp;TEXT(E73,"#,##0")&amp;설정!$B$7&amp;"으로 예산 대비 "&amp;TEXT(ABS(F73),"#,##0")&amp;설정!$B$7&amp;"("&amp;IF(D73=0,"예산 없음",TEXT(ABS(G73),"0.0%"))&amp;") "&amp;IF(C73="매출",IF(F73&gt;0,"상회","하회"),IF(F73&gt;0,"초과","절감"))&amp;" ["&amp;H73&amp;"]. 원인: "&amp;IF(O73="","___",O73)))</f>
        <v/>
      </c>
      <c r="Q73" s="45" t="str">
        <f aca="false">IF($A73="","",IF(N73="●",ABS(F73)+ROW()/1000000,0))</f>
        <v/>
      </c>
    </row>
    <row r="74" customFormat="false" ht="15" hidden="false" customHeight="false" outlineLevel="0" collapsed="false">
      <c r="A74" s="43" t="str">
        <f aca="false">IF(예산!A74="","",예산!A74)</f>
        <v/>
      </c>
      <c r="B74" s="43" t="str">
        <f aca="false">IF(예산!B74="","",예산!B74)</f>
        <v/>
      </c>
      <c r="C74" s="43" t="str">
        <f aca="false">IF(예산!C74="","",예산!C74)</f>
        <v/>
      </c>
      <c r="D74" s="9" t="str">
        <f aca="false">IF($A74="","",SUMIFS(INDEX(예산!$D$5:$O$204,0,설정!$B$4),예산!$A$5:$A$204,$A74))</f>
        <v/>
      </c>
      <c r="E74" s="9" t="str">
        <f aca="false">IF($A74="","",SUMIFS(INDEX(실적!$D$5:$O$204,0,설정!$B$4),실적!$A$5:$A$204,$A74))</f>
        <v/>
      </c>
      <c r="F74" s="9" t="str">
        <f aca="false">IF($A74="","",E74-D74)</f>
        <v/>
      </c>
      <c r="G74" s="10" t="str">
        <f aca="false">IF($A74="","",IF(D74=0,"n/a",F74/ABS(D74)))</f>
        <v/>
      </c>
      <c r="H74" s="11" t="str">
        <f aca="false">IF($A74="","",IF(F74=0,"-",IF((C74="매출")=(F74&gt;0),"유리","불리")))</f>
        <v/>
      </c>
      <c r="I74" s="9" t="str">
        <f aca="false">IF($A74="","",SUMPRODUCT((예산!$A$5:$A$204=$A74)*(COLUMN(예산!$D$4:$O$4)-COLUMN(예산!$D$4)+1&lt;=설정!$B$4)*예산!$D$5:$O$204))</f>
        <v/>
      </c>
      <c r="J74" s="9" t="str">
        <f aca="false">IF($A74="","",SUMPRODUCT((실적!$A$5:$A$204=$A74)*(COLUMN(실적!$D$4:$O$4)-COLUMN(실적!$D$4)+1&lt;=설정!$B$4)*실적!$D$5:$O$204))</f>
        <v/>
      </c>
      <c r="K74" s="9" t="str">
        <f aca="false">IF($A74="","",J74-I74)</f>
        <v/>
      </c>
      <c r="L74" s="10" t="str">
        <f aca="false">IF($A74="","",IF(I74=0,"n/a",K74/ABS(I74)))</f>
        <v/>
      </c>
      <c r="M74" s="11" t="str">
        <f aca="false">IF($A74="","",IF(K74=0,"-",IF((C74="매출")=(K74&gt;0),"유리","불리")))</f>
        <v/>
      </c>
      <c r="N74" s="18" t="str">
        <f aca="false">IF($A74="","",IF(AND(ABS(F74)&gt;=설정!$B$5,OR(D74=0,ABS(IF(D74=0,0,F74/D74))&gt;=설정!$B$6)),"●",""))</f>
        <v/>
      </c>
      <c r="O74" s="31"/>
      <c r="P74" s="44" t="str">
        <f aca="false">IF($A74="","",IF(N74="","",B74&amp;": 당월 실적 "&amp;TEXT(E74,"#,##0")&amp;설정!$B$7&amp;"으로 예산 대비 "&amp;TEXT(ABS(F74),"#,##0")&amp;설정!$B$7&amp;"("&amp;IF(D74=0,"예산 없음",TEXT(ABS(G74),"0.0%"))&amp;") "&amp;IF(C74="매출",IF(F74&gt;0,"상회","하회"),IF(F74&gt;0,"초과","절감"))&amp;" ["&amp;H74&amp;"]. 원인: "&amp;IF(O74="","___",O74)))</f>
        <v/>
      </c>
      <c r="Q74" s="45" t="str">
        <f aca="false">IF($A74="","",IF(N74="●",ABS(F74)+ROW()/1000000,0))</f>
        <v/>
      </c>
    </row>
    <row r="75" customFormat="false" ht="15" hidden="false" customHeight="false" outlineLevel="0" collapsed="false">
      <c r="A75" s="43" t="str">
        <f aca="false">IF(예산!A75="","",예산!A75)</f>
        <v/>
      </c>
      <c r="B75" s="43" t="str">
        <f aca="false">IF(예산!B75="","",예산!B75)</f>
        <v/>
      </c>
      <c r="C75" s="43" t="str">
        <f aca="false">IF(예산!C75="","",예산!C75)</f>
        <v/>
      </c>
      <c r="D75" s="9" t="str">
        <f aca="false">IF($A75="","",SUMIFS(INDEX(예산!$D$5:$O$204,0,설정!$B$4),예산!$A$5:$A$204,$A75))</f>
        <v/>
      </c>
      <c r="E75" s="9" t="str">
        <f aca="false">IF($A75="","",SUMIFS(INDEX(실적!$D$5:$O$204,0,설정!$B$4),실적!$A$5:$A$204,$A75))</f>
        <v/>
      </c>
      <c r="F75" s="9" t="str">
        <f aca="false">IF($A75="","",E75-D75)</f>
        <v/>
      </c>
      <c r="G75" s="10" t="str">
        <f aca="false">IF($A75="","",IF(D75=0,"n/a",F75/ABS(D75)))</f>
        <v/>
      </c>
      <c r="H75" s="11" t="str">
        <f aca="false">IF($A75="","",IF(F75=0,"-",IF((C75="매출")=(F75&gt;0),"유리","불리")))</f>
        <v/>
      </c>
      <c r="I75" s="9" t="str">
        <f aca="false">IF($A75="","",SUMPRODUCT((예산!$A$5:$A$204=$A75)*(COLUMN(예산!$D$4:$O$4)-COLUMN(예산!$D$4)+1&lt;=설정!$B$4)*예산!$D$5:$O$204))</f>
        <v/>
      </c>
      <c r="J75" s="9" t="str">
        <f aca="false">IF($A75="","",SUMPRODUCT((실적!$A$5:$A$204=$A75)*(COLUMN(실적!$D$4:$O$4)-COLUMN(실적!$D$4)+1&lt;=설정!$B$4)*실적!$D$5:$O$204))</f>
        <v/>
      </c>
      <c r="K75" s="9" t="str">
        <f aca="false">IF($A75="","",J75-I75)</f>
        <v/>
      </c>
      <c r="L75" s="10" t="str">
        <f aca="false">IF($A75="","",IF(I75=0,"n/a",K75/ABS(I75)))</f>
        <v/>
      </c>
      <c r="M75" s="11" t="str">
        <f aca="false">IF($A75="","",IF(K75=0,"-",IF((C75="매출")=(K75&gt;0),"유리","불리")))</f>
        <v/>
      </c>
      <c r="N75" s="18" t="str">
        <f aca="false">IF($A75="","",IF(AND(ABS(F75)&gt;=설정!$B$5,OR(D75=0,ABS(IF(D75=0,0,F75/D75))&gt;=설정!$B$6)),"●",""))</f>
        <v/>
      </c>
      <c r="O75" s="31"/>
      <c r="P75" s="44" t="str">
        <f aca="false">IF($A75="","",IF(N75="","",B75&amp;": 당월 실적 "&amp;TEXT(E75,"#,##0")&amp;설정!$B$7&amp;"으로 예산 대비 "&amp;TEXT(ABS(F75),"#,##0")&amp;설정!$B$7&amp;"("&amp;IF(D75=0,"예산 없음",TEXT(ABS(G75),"0.0%"))&amp;") "&amp;IF(C75="매출",IF(F75&gt;0,"상회","하회"),IF(F75&gt;0,"초과","절감"))&amp;" ["&amp;H75&amp;"]. 원인: "&amp;IF(O75="","___",O75)))</f>
        <v/>
      </c>
      <c r="Q75" s="45" t="str">
        <f aca="false">IF($A75="","",IF(N75="●",ABS(F75)+ROW()/1000000,0))</f>
        <v/>
      </c>
    </row>
    <row r="76" customFormat="false" ht="15" hidden="false" customHeight="false" outlineLevel="0" collapsed="false">
      <c r="A76" s="43" t="str">
        <f aca="false">IF(예산!A76="","",예산!A76)</f>
        <v/>
      </c>
      <c r="B76" s="43" t="str">
        <f aca="false">IF(예산!B76="","",예산!B76)</f>
        <v/>
      </c>
      <c r="C76" s="43" t="str">
        <f aca="false">IF(예산!C76="","",예산!C76)</f>
        <v/>
      </c>
      <c r="D76" s="9" t="str">
        <f aca="false">IF($A76="","",SUMIFS(INDEX(예산!$D$5:$O$204,0,설정!$B$4),예산!$A$5:$A$204,$A76))</f>
        <v/>
      </c>
      <c r="E76" s="9" t="str">
        <f aca="false">IF($A76="","",SUMIFS(INDEX(실적!$D$5:$O$204,0,설정!$B$4),실적!$A$5:$A$204,$A76))</f>
        <v/>
      </c>
      <c r="F76" s="9" t="str">
        <f aca="false">IF($A76="","",E76-D76)</f>
        <v/>
      </c>
      <c r="G76" s="10" t="str">
        <f aca="false">IF($A76="","",IF(D76=0,"n/a",F76/ABS(D76)))</f>
        <v/>
      </c>
      <c r="H76" s="11" t="str">
        <f aca="false">IF($A76="","",IF(F76=0,"-",IF((C76="매출")=(F76&gt;0),"유리","불리")))</f>
        <v/>
      </c>
      <c r="I76" s="9" t="str">
        <f aca="false">IF($A76="","",SUMPRODUCT((예산!$A$5:$A$204=$A76)*(COLUMN(예산!$D$4:$O$4)-COLUMN(예산!$D$4)+1&lt;=설정!$B$4)*예산!$D$5:$O$204))</f>
        <v/>
      </c>
      <c r="J76" s="9" t="str">
        <f aca="false">IF($A76="","",SUMPRODUCT((실적!$A$5:$A$204=$A76)*(COLUMN(실적!$D$4:$O$4)-COLUMN(실적!$D$4)+1&lt;=설정!$B$4)*실적!$D$5:$O$204))</f>
        <v/>
      </c>
      <c r="K76" s="9" t="str">
        <f aca="false">IF($A76="","",J76-I76)</f>
        <v/>
      </c>
      <c r="L76" s="10" t="str">
        <f aca="false">IF($A76="","",IF(I76=0,"n/a",K76/ABS(I76)))</f>
        <v/>
      </c>
      <c r="M76" s="11" t="str">
        <f aca="false">IF($A76="","",IF(K76=0,"-",IF((C76="매출")=(K76&gt;0),"유리","불리")))</f>
        <v/>
      </c>
      <c r="N76" s="18" t="str">
        <f aca="false">IF($A76="","",IF(AND(ABS(F76)&gt;=설정!$B$5,OR(D76=0,ABS(IF(D76=0,0,F76/D76))&gt;=설정!$B$6)),"●",""))</f>
        <v/>
      </c>
      <c r="O76" s="31"/>
      <c r="P76" s="44" t="str">
        <f aca="false">IF($A76="","",IF(N76="","",B76&amp;": 당월 실적 "&amp;TEXT(E76,"#,##0")&amp;설정!$B$7&amp;"으로 예산 대비 "&amp;TEXT(ABS(F76),"#,##0")&amp;설정!$B$7&amp;"("&amp;IF(D76=0,"예산 없음",TEXT(ABS(G76),"0.0%"))&amp;") "&amp;IF(C76="매출",IF(F76&gt;0,"상회","하회"),IF(F76&gt;0,"초과","절감"))&amp;" ["&amp;H76&amp;"]. 원인: "&amp;IF(O76="","___",O76)))</f>
        <v/>
      </c>
      <c r="Q76" s="45" t="str">
        <f aca="false">IF($A76="","",IF(N76="●",ABS(F76)+ROW()/1000000,0))</f>
        <v/>
      </c>
    </row>
    <row r="77" customFormat="false" ht="15" hidden="false" customHeight="false" outlineLevel="0" collapsed="false">
      <c r="A77" s="43" t="str">
        <f aca="false">IF(예산!A77="","",예산!A77)</f>
        <v/>
      </c>
      <c r="B77" s="43" t="str">
        <f aca="false">IF(예산!B77="","",예산!B77)</f>
        <v/>
      </c>
      <c r="C77" s="43" t="str">
        <f aca="false">IF(예산!C77="","",예산!C77)</f>
        <v/>
      </c>
      <c r="D77" s="9" t="str">
        <f aca="false">IF($A77="","",SUMIFS(INDEX(예산!$D$5:$O$204,0,설정!$B$4),예산!$A$5:$A$204,$A77))</f>
        <v/>
      </c>
      <c r="E77" s="9" t="str">
        <f aca="false">IF($A77="","",SUMIFS(INDEX(실적!$D$5:$O$204,0,설정!$B$4),실적!$A$5:$A$204,$A77))</f>
        <v/>
      </c>
      <c r="F77" s="9" t="str">
        <f aca="false">IF($A77="","",E77-D77)</f>
        <v/>
      </c>
      <c r="G77" s="10" t="str">
        <f aca="false">IF($A77="","",IF(D77=0,"n/a",F77/ABS(D77)))</f>
        <v/>
      </c>
      <c r="H77" s="11" t="str">
        <f aca="false">IF($A77="","",IF(F77=0,"-",IF((C77="매출")=(F77&gt;0),"유리","불리")))</f>
        <v/>
      </c>
      <c r="I77" s="9" t="str">
        <f aca="false">IF($A77="","",SUMPRODUCT((예산!$A$5:$A$204=$A77)*(COLUMN(예산!$D$4:$O$4)-COLUMN(예산!$D$4)+1&lt;=설정!$B$4)*예산!$D$5:$O$204))</f>
        <v/>
      </c>
      <c r="J77" s="9" t="str">
        <f aca="false">IF($A77="","",SUMPRODUCT((실적!$A$5:$A$204=$A77)*(COLUMN(실적!$D$4:$O$4)-COLUMN(실적!$D$4)+1&lt;=설정!$B$4)*실적!$D$5:$O$204))</f>
        <v/>
      </c>
      <c r="K77" s="9" t="str">
        <f aca="false">IF($A77="","",J77-I77)</f>
        <v/>
      </c>
      <c r="L77" s="10" t="str">
        <f aca="false">IF($A77="","",IF(I77=0,"n/a",K77/ABS(I77)))</f>
        <v/>
      </c>
      <c r="M77" s="11" t="str">
        <f aca="false">IF($A77="","",IF(K77=0,"-",IF((C77="매출")=(K77&gt;0),"유리","불리")))</f>
        <v/>
      </c>
      <c r="N77" s="18" t="str">
        <f aca="false">IF($A77="","",IF(AND(ABS(F77)&gt;=설정!$B$5,OR(D77=0,ABS(IF(D77=0,0,F77/D77))&gt;=설정!$B$6)),"●",""))</f>
        <v/>
      </c>
      <c r="O77" s="31"/>
      <c r="P77" s="44" t="str">
        <f aca="false">IF($A77="","",IF(N77="","",B77&amp;": 당월 실적 "&amp;TEXT(E77,"#,##0")&amp;설정!$B$7&amp;"으로 예산 대비 "&amp;TEXT(ABS(F77),"#,##0")&amp;설정!$B$7&amp;"("&amp;IF(D77=0,"예산 없음",TEXT(ABS(G77),"0.0%"))&amp;") "&amp;IF(C77="매출",IF(F77&gt;0,"상회","하회"),IF(F77&gt;0,"초과","절감"))&amp;" ["&amp;H77&amp;"]. 원인: "&amp;IF(O77="","___",O77)))</f>
        <v/>
      </c>
      <c r="Q77" s="45" t="str">
        <f aca="false">IF($A77="","",IF(N77="●",ABS(F77)+ROW()/1000000,0))</f>
        <v/>
      </c>
    </row>
    <row r="78" customFormat="false" ht="15" hidden="false" customHeight="false" outlineLevel="0" collapsed="false">
      <c r="A78" s="43" t="str">
        <f aca="false">IF(예산!A78="","",예산!A78)</f>
        <v/>
      </c>
      <c r="B78" s="43" t="str">
        <f aca="false">IF(예산!B78="","",예산!B78)</f>
        <v/>
      </c>
      <c r="C78" s="43" t="str">
        <f aca="false">IF(예산!C78="","",예산!C78)</f>
        <v/>
      </c>
      <c r="D78" s="9" t="str">
        <f aca="false">IF($A78="","",SUMIFS(INDEX(예산!$D$5:$O$204,0,설정!$B$4),예산!$A$5:$A$204,$A78))</f>
        <v/>
      </c>
      <c r="E78" s="9" t="str">
        <f aca="false">IF($A78="","",SUMIFS(INDEX(실적!$D$5:$O$204,0,설정!$B$4),실적!$A$5:$A$204,$A78))</f>
        <v/>
      </c>
      <c r="F78" s="9" t="str">
        <f aca="false">IF($A78="","",E78-D78)</f>
        <v/>
      </c>
      <c r="G78" s="10" t="str">
        <f aca="false">IF($A78="","",IF(D78=0,"n/a",F78/ABS(D78)))</f>
        <v/>
      </c>
      <c r="H78" s="11" t="str">
        <f aca="false">IF($A78="","",IF(F78=0,"-",IF((C78="매출")=(F78&gt;0),"유리","불리")))</f>
        <v/>
      </c>
      <c r="I78" s="9" t="str">
        <f aca="false">IF($A78="","",SUMPRODUCT((예산!$A$5:$A$204=$A78)*(COLUMN(예산!$D$4:$O$4)-COLUMN(예산!$D$4)+1&lt;=설정!$B$4)*예산!$D$5:$O$204))</f>
        <v/>
      </c>
      <c r="J78" s="9" t="str">
        <f aca="false">IF($A78="","",SUMPRODUCT((실적!$A$5:$A$204=$A78)*(COLUMN(실적!$D$4:$O$4)-COLUMN(실적!$D$4)+1&lt;=설정!$B$4)*실적!$D$5:$O$204))</f>
        <v/>
      </c>
      <c r="K78" s="9" t="str">
        <f aca="false">IF($A78="","",J78-I78)</f>
        <v/>
      </c>
      <c r="L78" s="10" t="str">
        <f aca="false">IF($A78="","",IF(I78=0,"n/a",K78/ABS(I78)))</f>
        <v/>
      </c>
      <c r="M78" s="11" t="str">
        <f aca="false">IF($A78="","",IF(K78=0,"-",IF((C78="매출")=(K78&gt;0),"유리","불리")))</f>
        <v/>
      </c>
      <c r="N78" s="18" t="str">
        <f aca="false">IF($A78="","",IF(AND(ABS(F78)&gt;=설정!$B$5,OR(D78=0,ABS(IF(D78=0,0,F78/D78))&gt;=설정!$B$6)),"●",""))</f>
        <v/>
      </c>
      <c r="O78" s="31"/>
      <c r="P78" s="44" t="str">
        <f aca="false">IF($A78="","",IF(N78="","",B78&amp;": 당월 실적 "&amp;TEXT(E78,"#,##0")&amp;설정!$B$7&amp;"으로 예산 대비 "&amp;TEXT(ABS(F78),"#,##0")&amp;설정!$B$7&amp;"("&amp;IF(D78=0,"예산 없음",TEXT(ABS(G78),"0.0%"))&amp;") "&amp;IF(C78="매출",IF(F78&gt;0,"상회","하회"),IF(F78&gt;0,"초과","절감"))&amp;" ["&amp;H78&amp;"]. 원인: "&amp;IF(O78="","___",O78)))</f>
        <v/>
      </c>
      <c r="Q78" s="45" t="str">
        <f aca="false">IF($A78="","",IF(N78="●",ABS(F78)+ROW()/1000000,0))</f>
        <v/>
      </c>
    </row>
    <row r="79" customFormat="false" ht="15" hidden="false" customHeight="false" outlineLevel="0" collapsed="false">
      <c r="A79" s="43" t="str">
        <f aca="false">IF(예산!A79="","",예산!A79)</f>
        <v/>
      </c>
      <c r="B79" s="43" t="str">
        <f aca="false">IF(예산!B79="","",예산!B79)</f>
        <v/>
      </c>
      <c r="C79" s="43" t="str">
        <f aca="false">IF(예산!C79="","",예산!C79)</f>
        <v/>
      </c>
      <c r="D79" s="9" t="str">
        <f aca="false">IF($A79="","",SUMIFS(INDEX(예산!$D$5:$O$204,0,설정!$B$4),예산!$A$5:$A$204,$A79))</f>
        <v/>
      </c>
      <c r="E79" s="9" t="str">
        <f aca="false">IF($A79="","",SUMIFS(INDEX(실적!$D$5:$O$204,0,설정!$B$4),실적!$A$5:$A$204,$A79))</f>
        <v/>
      </c>
      <c r="F79" s="9" t="str">
        <f aca="false">IF($A79="","",E79-D79)</f>
        <v/>
      </c>
      <c r="G79" s="10" t="str">
        <f aca="false">IF($A79="","",IF(D79=0,"n/a",F79/ABS(D79)))</f>
        <v/>
      </c>
      <c r="H79" s="11" t="str">
        <f aca="false">IF($A79="","",IF(F79=0,"-",IF((C79="매출")=(F79&gt;0),"유리","불리")))</f>
        <v/>
      </c>
      <c r="I79" s="9" t="str">
        <f aca="false">IF($A79="","",SUMPRODUCT((예산!$A$5:$A$204=$A79)*(COLUMN(예산!$D$4:$O$4)-COLUMN(예산!$D$4)+1&lt;=설정!$B$4)*예산!$D$5:$O$204))</f>
        <v/>
      </c>
      <c r="J79" s="9" t="str">
        <f aca="false">IF($A79="","",SUMPRODUCT((실적!$A$5:$A$204=$A79)*(COLUMN(실적!$D$4:$O$4)-COLUMN(실적!$D$4)+1&lt;=설정!$B$4)*실적!$D$5:$O$204))</f>
        <v/>
      </c>
      <c r="K79" s="9" t="str">
        <f aca="false">IF($A79="","",J79-I79)</f>
        <v/>
      </c>
      <c r="L79" s="10" t="str">
        <f aca="false">IF($A79="","",IF(I79=0,"n/a",K79/ABS(I79)))</f>
        <v/>
      </c>
      <c r="M79" s="11" t="str">
        <f aca="false">IF($A79="","",IF(K79=0,"-",IF((C79="매출")=(K79&gt;0),"유리","불리")))</f>
        <v/>
      </c>
      <c r="N79" s="18" t="str">
        <f aca="false">IF($A79="","",IF(AND(ABS(F79)&gt;=설정!$B$5,OR(D79=0,ABS(IF(D79=0,0,F79/D79))&gt;=설정!$B$6)),"●",""))</f>
        <v/>
      </c>
      <c r="O79" s="31"/>
      <c r="P79" s="44" t="str">
        <f aca="false">IF($A79="","",IF(N79="","",B79&amp;": 당월 실적 "&amp;TEXT(E79,"#,##0")&amp;설정!$B$7&amp;"으로 예산 대비 "&amp;TEXT(ABS(F79),"#,##0")&amp;설정!$B$7&amp;"("&amp;IF(D79=0,"예산 없음",TEXT(ABS(G79),"0.0%"))&amp;") "&amp;IF(C79="매출",IF(F79&gt;0,"상회","하회"),IF(F79&gt;0,"초과","절감"))&amp;" ["&amp;H79&amp;"]. 원인: "&amp;IF(O79="","___",O79)))</f>
        <v/>
      </c>
      <c r="Q79" s="45" t="str">
        <f aca="false">IF($A79="","",IF(N79="●",ABS(F79)+ROW()/1000000,0))</f>
        <v/>
      </c>
    </row>
    <row r="80" customFormat="false" ht="15" hidden="false" customHeight="false" outlineLevel="0" collapsed="false">
      <c r="A80" s="43" t="str">
        <f aca="false">IF(예산!A80="","",예산!A80)</f>
        <v/>
      </c>
      <c r="B80" s="43" t="str">
        <f aca="false">IF(예산!B80="","",예산!B80)</f>
        <v/>
      </c>
      <c r="C80" s="43" t="str">
        <f aca="false">IF(예산!C80="","",예산!C80)</f>
        <v/>
      </c>
      <c r="D80" s="9" t="str">
        <f aca="false">IF($A80="","",SUMIFS(INDEX(예산!$D$5:$O$204,0,설정!$B$4),예산!$A$5:$A$204,$A80))</f>
        <v/>
      </c>
      <c r="E80" s="9" t="str">
        <f aca="false">IF($A80="","",SUMIFS(INDEX(실적!$D$5:$O$204,0,설정!$B$4),실적!$A$5:$A$204,$A80))</f>
        <v/>
      </c>
      <c r="F80" s="9" t="str">
        <f aca="false">IF($A80="","",E80-D80)</f>
        <v/>
      </c>
      <c r="G80" s="10" t="str">
        <f aca="false">IF($A80="","",IF(D80=0,"n/a",F80/ABS(D80)))</f>
        <v/>
      </c>
      <c r="H80" s="11" t="str">
        <f aca="false">IF($A80="","",IF(F80=0,"-",IF((C80="매출")=(F80&gt;0),"유리","불리")))</f>
        <v/>
      </c>
      <c r="I80" s="9" t="str">
        <f aca="false">IF($A80="","",SUMPRODUCT((예산!$A$5:$A$204=$A80)*(COLUMN(예산!$D$4:$O$4)-COLUMN(예산!$D$4)+1&lt;=설정!$B$4)*예산!$D$5:$O$204))</f>
        <v/>
      </c>
      <c r="J80" s="9" t="str">
        <f aca="false">IF($A80="","",SUMPRODUCT((실적!$A$5:$A$204=$A80)*(COLUMN(실적!$D$4:$O$4)-COLUMN(실적!$D$4)+1&lt;=설정!$B$4)*실적!$D$5:$O$204))</f>
        <v/>
      </c>
      <c r="K80" s="9" t="str">
        <f aca="false">IF($A80="","",J80-I80)</f>
        <v/>
      </c>
      <c r="L80" s="10" t="str">
        <f aca="false">IF($A80="","",IF(I80=0,"n/a",K80/ABS(I80)))</f>
        <v/>
      </c>
      <c r="M80" s="11" t="str">
        <f aca="false">IF($A80="","",IF(K80=0,"-",IF((C80="매출")=(K80&gt;0),"유리","불리")))</f>
        <v/>
      </c>
      <c r="N80" s="18" t="str">
        <f aca="false">IF($A80="","",IF(AND(ABS(F80)&gt;=설정!$B$5,OR(D80=0,ABS(IF(D80=0,0,F80/D80))&gt;=설정!$B$6)),"●",""))</f>
        <v/>
      </c>
      <c r="O80" s="31"/>
      <c r="P80" s="44" t="str">
        <f aca="false">IF($A80="","",IF(N80="","",B80&amp;": 당월 실적 "&amp;TEXT(E80,"#,##0")&amp;설정!$B$7&amp;"으로 예산 대비 "&amp;TEXT(ABS(F80),"#,##0")&amp;설정!$B$7&amp;"("&amp;IF(D80=0,"예산 없음",TEXT(ABS(G80),"0.0%"))&amp;") "&amp;IF(C80="매출",IF(F80&gt;0,"상회","하회"),IF(F80&gt;0,"초과","절감"))&amp;" ["&amp;H80&amp;"]. 원인: "&amp;IF(O80="","___",O80)))</f>
        <v/>
      </c>
      <c r="Q80" s="45" t="str">
        <f aca="false">IF($A80="","",IF(N80="●",ABS(F80)+ROW()/1000000,0))</f>
        <v/>
      </c>
    </row>
    <row r="81" customFormat="false" ht="15" hidden="false" customHeight="false" outlineLevel="0" collapsed="false">
      <c r="A81" s="43" t="str">
        <f aca="false">IF(예산!A81="","",예산!A81)</f>
        <v/>
      </c>
      <c r="B81" s="43" t="str">
        <f aca="false">IF(예산!B81="","",예산!B81)</f>
        <v/>
      </c>
      <c r="C81" s="43" t="str">
        <f aca="false">IF(예산!C81="","",예산!C81)</f>
        <v/>
      </c>
      <c r="D81" s="9" t="str">
        <f aca="false">IF($A81="","",SUMIFS(INDEX(예산!$D$5:$O$204,0,설정!$B$4),예산!$A$5:$A$204,$A81))</f>
        <v/>
      </c>
      <c r="E81" s="9" t="str">
        <f aca="false">IF($A81="","",SUMIFS(INDEX(실적!$D$5:$O$204,0,설정!$B$4),실적!$A$5:$A$204,$A81))</f>
        <v/>
      </c>
      <c r="F81" s="9" t="str">
        <f aca="false">IF($A81="","",E81-D81)</f>
        <v/>
      </c>
      <c r="G81" s="10" t="str">
        <f aca="false">IF($A81="","",IF(D81=0,"n/a",F81/ABS(D81)))</f>
        <v/>
      </c>
      <c r="H81" s="11" t="str">
        <f aca="false">IF($A81="","",IF(F81=0,"-",IF((C81="매출")=(F81&gt;0),"유리","불리")))</f>
        <v/>
      </c>
      <c r="I81" s="9" t="str">
        <f aca="false">IF($A81="","",SUMPRODUCT((예산!$A$5:$A$204=$A81)*(COLUMN(예산!$D$4:$O$4)-COLUMN(예산!$D$4)+1&lt;=설정!$B$4)*예산!$D$5:$O$204))</f>
        <v/>
      </c>
      <c r="J81" s="9" t="str">
        <f aca="false">IF($A81="","",SUMPRODUCT((실적!$A$5:$A$204=$A81)*(COLUMN(실적!$D$4:$O$4)-COLUMN(실적!$D$4)+1&lt;=설정!$B$4)*실적!$D$5:$O$204))</f>
        <v/>
      </c>
      <c r="K81" s="9" t="str">
        <f aca="false">IF($A81="","",J81-I81)</f>
        <v/>
      </c>
      <c r="L81" s="10" t="str">
        <f aca="false">IF($A81="","",IF(I81=0,"n/a",K81/ABS(I81)))</f>
        <v/>
      </c>
      <c r="M81" s="11" t="str">
        <f aca="false">IF($A81="","",IF(K81=0,"-",IF((C81="매출")=(K81&gt;0),"유리","불리")))</f>
        <v/>
      </c>
      <c r="N81" s="18" t="str">
        <f aca="false">IF($A81="","",IF(AND(ABS(F81)&gt;=설정!$B$5,OR(D81=0,ABS(IF(D81=0,0,F81/D81))&gt;=설정!$B$6)),"●",""))</f>
        <v/>
      </c>
      <c r="O81" s="31"/>
      <c r="P81" s="44" t="str">
        <f aca="false">IF($A81="","",IF(N81="","",B81&amp;": 당월 실적 "&amp;TEXT(E81,"#,##0")&amp;설정!$B$7&amp;"으로 예산 대비 "&amp;TEXT(ABS(F81),"#,##0")&amp;설정!$B$7&amp;"("&amp;IF(D81=0,"예산 없음",TEXT(ABS(G81),"0.0%"))&amp;") "&amp;IF(C81="매출",IF(F81&gt;0,"상회","하회"),IF(F81&gt;0,"초과","절감"))&amp;" ["&amp;H81&amp;"]. 원인: "&amp;IF(O81="","___",O81)))</f>
        <v/>
      </c>
      <c r="Q81" s="45" t="str">
        <f aca="false">IF($A81="","",IF(N81="●",ABS(F81)+ROW()/1000000,0))</f>
        <v/>
      </c>
    </row>
    <row r="82" customFormat="false" ht="15" hidden="false" customHeight="false" outlineLevel="0" collapsed="false">
      <c r="A82" s="43" t="str">
        <f aca="false">IF(예산!A82="","",예산!A82)</f>
        <v/>
      </c>
      <c r="B82" s="43" t="str">
        <f aca="false">IF(예산!B82="","",예산!B82)</f>
        <v/>
      </c>
      <c r="C82" s="43" t="str">
        <f aca="false">IF(예산!C82="","",예산!C82)</f>
        <v/>
      </c>
      <c r="D82" s="9" t="str">
        <f aca="false">IF($A82="","",SUMIFS(INDEX(예산!$D$5:$O$204,0,설정!$B$4),예산!$A$5:$A$204,$A82))</f>
        <v/>
      </c>
      <c r="E82" s="9" t="str">
        <f aca="false">IF($A82="","",SUMIFS(INDEX(실적!$D$5:$O$204,0,설정!$B$4),실적!$A$5:$A$204,$A82))</f>
        <v/>
      </c>
      <c r="F82" s="9" t="str">
        <f aca="false">IF($A82="","",E82-D82)</f>
        <v/>
      </c>
      <c r="G82" s="10" t="str">
        <f aca="false">IF($A82="","",IF(D82=0,"n/a",F82/ABS(D82)))</f>
        <v/>
      </c>
      <c r="H82" s="11" t="str">
        <f aca="false">IF($A82="","",IF(F82=0,"-",IF((C82="매출")=(F82&gt;0),"유리","불리")))</f>
        <v/>
      </c>
      <c r="I82" s="9" t="str">
        <f aca="false">IF($A82="","",SUMPRODUCT((예산!$A$5:$A$204=$A82)*(COLUMN(예산!$D$4:$O$4)-COLUMN(예산!$D$4)+1&lt;=설정!$B$4)*예산!$D$5:$O$204))</f>
        <v/>
      </c>
      <c r="J82" s="9" t="str">
        <f aca="false">IF($A82="","",SUMPRODUCT((실적!$A$5:$A$204=$A82)*(COLUMN(실적!$D$4:$O$4)-COLUMN(실적!$D$4)+1&lt;=설정!$B$4)*실적!$D$5:$O$204))</f>
        <v/>
      </c>
      <c r="K82" s="9" t="str">
        <f aca="false">IF($A82="","",J82-I82)</f>
        <v/>
      </c>
      <c r="L82" s="10" t="str">
        <f aca="false">IF($A82="","",IF(I82=0,"n/a",K82/ABS(I82)))</f>
        <v/>
      </c>
      <c r="M82" s="11" t="str">
        <f aca="false">IF($A82="","",IF(K82=0,"-",IF((C82="매출")=(K82&gt;0),"유리","불리")))</f>
        <v/>
      </c>
      <c r="N82" s="18" t="str">
        <f aca="false">IF($A82="","",IF(AND(ABS(F82)&gt;=설정!$B$5,OR(D82=0,ABS(IF(D82=0,0,F82/D82))&gt;=설정!$B$6)),"●",""))</f>
        <v/>
      </c>
      <c r="O82" s="31"/>
      <c r="P82" s="44" t="str">
        <f aca="false">IF($A82="","",IF(N82="","",B82&amp;": 당월 실적 "&amp;TEXT(E82,"#,##0")&amp;설정!$B$7&amp;"으로 예산 대비 "&amp;TEXT(ABS(F82),"#,##0")&amp;설정!$B$7&amp;"("&amp;IF(D82=0,"예산 없음",TEXT(ABS(G82),"0.0%"))&amp;") "&amp;IF(C82="매출",IF(F82&gt;0,"상회","하회"),IF(F82&gt;0,"초과","절감"))&amp;" ["&amp;H82&amp;"]. 원인: "&amp;IF(O82="","___",O82)))</f>
        <v/>
      </c>
      <c r="Q82" s="45" t="str">
        <f aca="false">IF($A82="","",IF(N82="●",ABS(F82)+ROW()/1000000,0))</f>
        <v/>
      </c>
    </row>
    <row r="83" customFormat="false" ht="15" hidden="false" customHeight="false" outlineLevel="0" collapsed="false">
      <c r="A83" s="43" t="str">
        <f aca="false">IF(예산!A83="","",예산!A83)</f>
        <v/>
      </c>
      <c r="B83" s="43" t="str">
        <f aca="false">IF(예산!B83="","",예산!B83)</f>
        <v/>
      </c>
      <c r="C83" s="43" t="str">
        <f aca="false">IF(예산!C83="","",예산!C83)</f>
        <v/>
      </c>
      <c r="D83" s="9" t="str">
        <f aca="false">IF($A83="","",SUMIFS(INDEX(예산!$D$5:$O$204,0,설정!$B$4),예산!$A$5:$A$204,$A83))</f>
        <v/>
      </c>
      <c r="E83" s="9" t="str">
        <f aca="false">IF($A83="","",SUMIFS(INDEX(실적!$D$5:$O$204,0,설정!$B$4),실적!$A$5:$A$204,$A83))</f>
        <v/>
      </c>
      <c r="F83" s="9" t="str">
        <f aca="false">IF($A83="","",E83-D83)</f>
        <v/>
      </c>
      <c r="G83" s="10" t="str">
        <f aca="false">IF($A83="","",IF(D83=0,"n/a",F83/ABS(D83)))</f>
        <v/>
      </c>
      <c r="H83" s="11" t="str">
        <f aca="false">IF($A83="","",IF(F83=0,"-",IF((C83="매출")=(F83&gt;0),"유리","불리")))</f>
        <v/>
      </c>
      <c r="I83" s="9" t="str">
        <f aca="false">IF($A83="","",SUMPRODUCT((예산!$A$5:$A$204=$A83)*(COLUMN(예산!$D$4:$O$4)-COLUMN(예산!$D$4)+1&lt;=설정!$B$4)*예산!$D$5:$O$204))</f>
        <v/>
      </c>
      <c r="J83" s="9" t="str">
        <f aca="false">IF($A83="","",SUMPRODUCT((실적!$A$5:$A$204=$A83)*(COLUMN(실적!$D$4:$O$4)-COLUMN(실적!$D$4)+1&lt;=설정!$B$4)*실적!$D$5:$O$204))</f>
        <v/>
      </c>
      <c r="K83" s="9" t="str">
        <f aca="false">IF($A83="","",J83-I83)</f>
        <v/>
      </c>
      <c r="L83" s="10" t="str">
        <f aca="false">IF($A83="","",IF(I83=0,"n/a",K83/ABS(I83)))</f>
        <v/>
      </c>
      <c r="M83" s="11" t="str">
        <f aca="false">IF($A83="","",IF(K83=0,"-",IF((C83="매출")=(K83&gt;0),"유리","불리")))</f>
        <v/>
      </c>
      <c r="N83" s="18" t="str">
        <f aca="false">IF($A83="","",IF(AND(ABS(F83)&gt;=설정!$B$5,OR(D83=0,ABS(IF(D83=0,0,F83/D83))&gt;=설정!$B$6)),"●",""))</f>
        <v/>
      </c>
      <c r="O83" s="31"/>
      <c r="P83" s="44" t="str">
        <f aca="false">IF($A83="","",IF(N83="","",B83&amp;": 당월 실적 "&amp;TEXT(E83,"#,##0")&amp;설정!$B$7&amp;"으로 예산 대비 "&amp;TEXT(ABS(F83),"#,##0")&amp;설정!$B$7&amp;"("&amp;IF(D83=0,"예산 없음",TEXT(ABS(G83),"0.0%"))&amp;") "&amp;IF(C83="매출",IF(F83&gt;0,"상회","하회"),IF(F83&gt;0,"초과","절감"))&amp;" ["&amp;H83&amp;"]. 원인: "&amp;IF(O83="","___",O83)))</f>
        <v/>
      </c>
      <c r="Q83" s="45" t="str">
        <f aca="false">IF($A83="","",IF(N83="●",ABS(F83)+ROW()/1000000,0))</f>
        <v/>
      </c>
    </row>
    <row r="84" customFormat="false" ht="15" hidden="false" customHeight="false" outlineLevel="0" collapsed="false">
      <c r="A84" s="43" t="str">
        <f aca="false">IF(예산!A84="","",예산!A84)</f>
        <v/>
      </c>
      <c r="B84" s="43" t="str">
        <f aca="false">IF(예산!B84="","",예산!B84)</f>
        <v/>
      </c>
      <c r="C84" s="43" t="str">
        <f aca="false">IF(예산!C84="","",예산!C84)</f>
        <v/>
      </c>
      <c r="D84" s="9" t="str">
        <f aca="false">IF($A84="","",SUMIFS(INDEX(예산!$D$5:$O$204,0,설정!$B$4),예산!$A$5:$A$204,$A84))</f>
        <v/>
      </c>
      <c r="E84" s="9" t="str">
        <f aca="false">IF($A84="","",SUMIFS(INDEX(실적!$D$5:$O$204,0,설정!$B$4),실적!$A$5:$A$204,$A84))</f>
        <v/>
      </c>
      <c r="F84" s="9" t="str">
        <f aca="false">IF($A84="","",E84-D84)</f>
        <v/>
      </c>
      <c r="G84" s="10" t="str">
        <f aca="false">IF($A84="","",IF(D84=0,"n/a",F84/ABS(D84)))</f>
        <v/>
      </c>
      <c r="H84" s="11" t="str">
        <f aca="false">IF($A84="","",IF(F84=0,"-",IF((C84="매출")=(F84&gt;0),"유리","불리")))</f>
        <v/>
      </c>
      <c r="I84" s="9" t="str">
        <f aca="false">IF($A84="","",SUMPRODUCT((예산!$A$5:$A$204=$A84)*(COLUMN(예산!$D$4:$O$4)-COLUMN(예산!$D$4)+1&lt;=설정!$B$4)*예산!$D$5:$O$204))</f>
        <v/>
      </c>
      <c r="J84" s="9" t="str">
        <f aca="false">IF($A84="","",SUMPRODUCT((실적!$A$5:$A$204=$A84)*(COLUMN(실적!$D$4:$O$4)-COLUMN(실적!$D$4)+1&lt;=설정!$B$4)*실적!$D$5:$O$204))</f>
        <v/>
      </c>
      <c r="K84" s="9" t="str">
        <f aca="false">IF($A84="","",J84-I84)</f>
        <v/>
      </c>
      <c r="L84" s="10" t="str">
        <f aca="false">IF($A84="","",IF(I84=0,"n/a",K84/ABS(I84)))</f>
        <v/>
      </c>
      <c r="M84" s="11" t="str">
        <f aca="false">IF($A84="","",IF(K84=0,"-",IF((C84="매출")=(K84&gt;0),"유리","불리")))</f>
        <v/>
      </c>
      <c r="N84" s="18" t="str">
        <f aca="false">IF($A84="","",IF(AND(ABS(F84)&gt;=설정!$B$5,OR(D84=0,ABS(IF(D84=0,0,F84/D84))&gt;=설정!$B$6)),"●",""))</f>
        <v/>
      </c>
      <c r="O84" s="31"/>
      <c r="P84" s="44" t="str">
        <f aca="false">IF($A84="","",IF(N84="","",B84&amp;": 당월 실적 "&amp;TEXT(E84,"#,##0")&amp;설정!$B$7&amp;"으로 예산 대비 "&amp;TEXT(ABS(F84),"#,##0")&amp;설정!$B$7&amp;"("&amp;IF(D84=0,"예산 없음",TEXT(ABS(G84),"0.0%"))&amp;") "&amp;IF(C84="매출",IF(F84&gt;0,"상회","하회"),IF(F84&gt;0,"초과","절감"))&amp;" ["&amp;H84&amp;"]. 원인: "&amp;IF(O84="","___",O84)))</f>
        <v/>
      </c>
      <c r="Q84" s="45" t="str">
        <f aca="false">IF($A84="","",IF(N84="●",ABS(F84)+ROW()/1000000,0))</f>
        <v/>
      </c>
    </row>
    <row r="85" customFormat="false" ht="15" hidden="false" customHeight="false" outlineLevel="0" collapsed="false">
      <c r="A85" s="43" t="str">
        <f aca="false">IF(예산!A85="","",예산!A85)</f>
        <v/>
      </c>
      <c r="B85" s="43" t="str">
        <f aca="false">IF(예산!B85="","",예산!B85)</f>
        <v/>
      </c>
      <c r="C85" s="43" t="str">
        <f aca="false">IF(예산!C85="","",예산!C85)</f>
        <v/>
      </c>
      <c r="D85" s="9" t="str">
        <f aca="false">IF($A85="","",SUMIFS(INDEX(예산!$D$5:$O$204,0,설정!$B$4),예산!$A$5:$A$204,$A85))</f>
        <v/>
      </c>
      <c r="E85" s="9" t="str">
        <f aca="false">IF($A85="","",SUMIFS(INDEX(실적!$D$5:$O$204,0,설정!$B$4),실적!$A$5:$A$204,$A85))</f>
        <v/>
      </c>
      <c r="F85" s="9" t="str">
        <f aca="false">IF($A85="","",E85-D85)</f>
        <v/>
      </c>
      <c r="G85" s="10" t="str">
        <f aca="false">IF($A85="","",IF(D85=0,"n/a",F85/ABS(D85)))</f>
        <v/>
      </c>
      <c r="H85" s="11" t="str">
        <f aca="false">IF($A85="","",IF(F85=0,"-",IF((C85="매출")=(F85&gt;0),"유리","불리")))</f>
        <v/>
      </c>
      <c r="I85" s="9" t="str">
        <f aca="false">IF($A85="","",SUMPRODUCT((예산!$A$5:$A$204=$A85)*(COLUMN(예산!$D$4:$O$4)-COLUMN(예산!$D$4)+1&lt;=설정!$B$4)*예산!$D$5:$O$204))</f>
        <v/>
      </c>
      <c r="J85" s="9" t="str">
        <f aca="false">IF($A85="","",SUMPRODUCT((실적!$A$5:$A$204=$A85)*(COLUMN(실적!$D$4:$O$4)-COLUMN(실적!$D$4)+1&lt;=설정!$B$4)*실적!$D$5:$O$204))</f>
        <v/>
      </c>
      <c r="K85" s="9" t="str">
        <f aca="false">IF($A85="","",J85-I85)</f>
        <v/>
      </c>
      <c r="L85" s="10" t="str">
        <f aca="false">IF($A85="","",IF(I85=0,"n/a",K85/ABS(I85)))</f>
        <v/>
      </c>
      <c r="M85" s="11" t="str">
        <f aca="false">IF($A85="","",IF(K85=0,"-",IF((C85="매출")=(K85&gt;0),"유리","불리")))</f>
        <v/>
      </c>
      <c r="N85" s="18" t="str">
        <f aca="false">IF($A85="","",IF(AND(ABS(F85)&gt;=설정!$B$5,OR(D85=0,ABS(IF(D85=0,0,F85/D85))&gt;=설정!$B$6)),"●",""))</f>
        <v/>
      </c>
      <c r="O85" s="31"/>
      <c r="P85" s="44" t="str">
        <f aca="false">IF($A85="","",IF(N85="","",B85&amp;": 당월 실적 "&amp;TEXT(E85,"#,##0")&amp;설정!$B$7&amp;"으로 예산 대비 "&amp;TEXT(ABS(F85),"#,##0")&amp;설정!$B$7&amp;"("&amp;IF(D85=0,"예산 없음",TEXT(ABS(G85),"0.0%"))&amp;") "&amp;IF(C85="매출",IF(F85&gt;0,"상회","하회"),IF(F85&gt;0,"초과","절감"))&amp;" ["&amp;H85&amp;"]. 원인: "&amp;IF(O85="","___",O85)))</f>
        <v/>
      </c>
      <c r="Q85" s="45" t="str">
        <f aca="false">IF($A85="","",IF(N85="●",ABS(F85)+ROW()/1000000,0))</f>
        <v/>
      </c>
    </row>
    <row r="86" customFormat="false" ht="15" hidden="false" customHeight="false" outlineLevel="0" collapsed="false">
      <c r="A86" s="43" t="str">
        <f aca="false">IF(예산!A86="","",예산!A86)</f>
        <v/>
      </c>
      <c r="B86" s="43" t="str">
        <f aca="false">IF(예산!B86="","",예산!B86)</f>
        <v/>
      </c>
      <c r="C86" s="43" t="str">
        <f aca="false">IF(예산!C86="","",예산!C86)</f>
        <v/>
      </c>
      <c r="D86" s="9" t="str">
        <f aca="false">IF($A86="","",SUMIFS(INDEX(예산!$D$5:$O$204,0,설정!$B$4),예산!$A$5:$A$204,$A86))</f>
        <v/>
      </c>
      <c r="E86" s="9" t="str">
        <f aca="false">IF($A86="","",SUMIFS(INDEX(실적!$D$5:$O$204,0,설정!$B$4),실적!$A$5:$A$204,$A86))</f>
        <v/>
      </c>
      <c r="F86" s="9" t="str">
        <f aca="false">IF($A86="","",E86-D86)</f>
        <v/>
      </c>
      <c r="G86" s="10" t="str">
        <f aca="false">IF($A86="","",IF(D86=0,"n/a",F86/ABS(D86)))</f>
        <v/>
      </c>
      <c r="H86" s="11" t="str">
        <f aca="false">IF($A86="","",IF(F86=0,"-",IF((C86="매출")=(F86&gt;0),"유리","불리")))</f>
        <v/>
      </c>
      <c r="I86" s="9" t="str">
        <f aca="false">IF($A86="","",SUMPRODUCT((예산!$A$5:$A$204=$A86)*(COLUMN(예산!$D$4:$O$4)-COLUMN(예산!$D$4)+1&lt;=설정!$B$4)*예산!$D$5:$O$204))</f>
        <v/>
      </c>
      <c r="J86" s="9" t="str">
        <f aca="false">IF($A86="","",SUMPRODUCT((실적!$A$5:$A$204=$A86)*(COLUMN(실적!$D$4:$O$4)-COLUMN(실적!$D$4)+1&lt;=설정!$B$4)*실적!$D$5:$O$204))</f>
        <v/>
      </c>
      <c r="K86" s="9" t="str">
        <f aca="false">IF($A86="","",J86-I86)</f>
        <v/>
      </c>
      <c r="L86" s="10" t="str">
        <f aca="false">IF($A86="","",IF(I86=0,"n/a",K86/ABS(I86)))</f>
        <v/>
      </c>
      <c r="M86" s="11" t="str">
        <f aca="false">IF($A86="","",IF(K86=0,"-",IF((C86="매출")=(K86&gt;0),"유리","불리")))</f>
        <v/>
      </c>
      <c r="N86" s="18" t="str">
        <f aca="false">IF($A86="","",IF(AND(ABS(F86)&gt;=설정!$B$5,OR(D86=0,ABS(IF(D86=0,0,F86/D86))&gt;=설정!$B$6)),"●",""))</f>
        <v/>
      </c>
      <c r="O86" s="31"/>
      <c r="P86" s="44" t="str">
        <f aca="false">IF($A86="","",IF(N86="","",B86&amp;": 당월 실적 "&amp;TEXT(E86,"#,##0")&amp;설정!$B$7&amp;"으로 예산 대비 "&amp;TEXT(ABS(F86),"#,##0")&amp;설정!$B$7&amp;"("&amp;IF(D86=0,"예산 없음",TEXT(ABS(G86),"0.0%"))&amp;") "&amp;IF(C86="매출",IF(F86&gt;0,"상회","하회"),IF(F86&gt;0,"초과","절감"))&amp;" ["&amp;H86&amp;"]. 원인: "&amp;IF(O86="","___",O86)))</f>
        <v/>
      </c>
      <c r="Q86" s="45" t="str">
        <f aca="false">IF($A86="","",IF(N86="●",ABS(F86)+ROW()/1000000,0))</f>
        <v/>
      </c>
    </row>
    <row r="87" customFormat="false" ht="15" hidden="false" customHeight="false" outlineLevel="0" collapsed="false">
      <c r="A87" s="43" t="str">
        <f aca="false">IF(예산!A87="","",예산!A87)</f>
        <v/>
      </c>
      <c r="B87" s="43" t="str">
        <f aca="false">IF(예산!B87="","",예산!B87)</f>
        <v/>
      </c>
      <c r="C87" s="43" t="str">
        <f aca="false">IF(예산!C87="","",예산!C87)</f>
        <v/>
      </c>
      <c r="D87" s="9" t="str">
        <f aca="false">IF($A87="","",SUMIFS(INDEX(예산!$D$5:$O$204,0,설정!$B$4),예산!$A$5:$A$204,$A87))</f>
        <v/>
      </c>
      <c r="E87" s="9" t="str">
        <f aca="false">IF($A87="","",SUMIFS(INDEX(실적!$D$5:$O$204,0,설정!$B$4),실적!$A$5:$A$204,$A87))</f>
        <v/>
      </c>
      <c r="F87" s="9" t="str">
        <f aca="false">IF($A87="","",E87-D87)</f>
        <v/>
      </c>
      <c r="G87" s="10" t="str">
        <f aca="false">IF($A87="","",IF(D87=0,"n/a",F87/ABS(D87)))</f>
        <v/>
      </c>
      <c r="H87" s="11" t="str">
        <f aca="false">IF($A87="","",IF(F87=0,"-",IF((C87="매출")=(F87&gt;0),"유리","불리")))</f>
        <v/>
      </c>
      <c r="I87" s="9" t="str">
        <f aca="false">IF($A87="","",SUMPRODUCT((예산!$A$5:$A$204=$A87)*(COLUMN(예산!$D$4:$O$4)-COLUMN(예산!$D$4)+1&lt;=설정!$B$4)*예산!$D$5:$O$204))</f>
        <v/>
      </c>
      <c r="J87" s="9" t="str">
        <f aca="false">IF($A87="","",SUMPRODUCT((실적!$A$5:$A$204=$A87)*(COLUMN(실적!$D$4:$O$4)-COLUMN(실적!$D$4)+1&lt;=설정!$B$4)*실적!$D$5:$O$204))</f>
        <v/>
      </c>
      <c r="K87" s="9" t="str">
        <f aca="false">IF($A87="","",J87-I87)</f>
        <v/>
      </c>
      <c r="L87" s="10" t="str">
        <f aca="false">IF($A87="","",IF(I87=0,"n/a",K87/ABS(I87)))</f>
        <v/>
      </c>
      <c r="M87" s="11" t="str">
        <f aca="false">IF($A87="","",IF(K87=0,"-",IF((C87="매출")=(K87&gt;0),"유리","불리")))</f>
        <v/>
      </c>
      <c r="N87" s="18" t="str">
        <f aca="false">IF($A87="","",IF(AND(ABS(F87)&gt;=설정!$B$5,OR(D87=0,ABS(IF(D87=0,0,F87/D87))&gt;=설정!$B$6)),"●",""))</f>
        <v/>
      </c>
      <c r="O87" s="31"/>
      <c r="P87" s="44" t="str">
        <f aca="false">IF($A87="","",IF(N87="","",B87&amp;": 당월 실적 "&amp;TEXT(E87,"#,##0")&amp;설정!$B$7&amp;"으로 예산 대비 "&amp;TEXT(ABS(F87),"#,##0")&amp;설정!$B$7&amp;"("&amp;IF(D87=0,"예산 없음",TEXT(ABS(G87),"0.0%"))&amp;") "&amp;IF(C87="매출",IF(F87&gt;0,"상회","하회"),IF(F87&gt;0,"초과","절감"))&amp;" ["&amp;H87&amp;"]. 원인: "&amp;IF(O87="","___",O87)))</f>
        <v/>
      </c>
      <c r="Q87" s="45" t="str">
        <f aca="false">IF($A87="","",IF(N87="●",ABS(F87)+ROW()/1000000,0))</f>
        <v/>
      </c>
    </row>
    <row r="88" customFormat="false" ht="15" hidden="false" customHeight="false" outlineLevel="0" collapsed="false">
      <c r="A88" s="43" t="str">
        <f aca="false">IF(예산!A88="","",예산!A88)</f>
        <v/>
      </c>
      <c r="B88" s="43" t="str">
        <f aca="false">IF(예산!B88="","",예산!B88)</f>
        <v/>
      </c>
      <c r="C88" s="43" t="str">
        <f aca="false">IF(예산!C88="","",예산!C88)</f>
        <v/>
      </c>
      <c r="D88" s="9" t="str">
        <f aca="false">IF($A88="","",SUMIFS(INDEX(예산!$D$5:$O$204,0,설정!$B$4),예산!$A$5:$A$204,$A88))</f>
        <v/>
      </c>
      <c r="E88" s="9" t="str">
        <f aca="false">IF($A88="","",SUMIFS(INDEX(실적!$D$5:$O$204,0,설정!$B$4),실적!$A$5:$A$204,$A88))</f>
        <v/>
      </c>
      <c r="F88" s="9" t="str">
        <f aca="false">IF($A88="","",E88-D88)</f>
        <v/>
      </c>
      <c r="G88" s="10" t="str">
        <f aca="false">IF($A88="","",IF(D88=0,"n/a",F88/ABS(D88)))</f>
        <v/>
      </c>
      <c r="H88" s="11" t="str">
        <f aca="false">IF($A88="","",IF(F88=0,"-",IF((C88="매출")=(F88&gt;0),"유리","불리")))</f>
        <v/>
      </c>
      <c r="I88" s="9" t="str">
        <f aca="false">IF($A88="","",SUMPRODUCT((예산!$A$5:$A$204=$A88)*(COLUMN(예산!$D$4:$O$4)-COLUMN(예산!$D$4)+1&lt;=설정!$B$4)*예산!$D$5:$O$204))</f>
        <v/>
      </c>
      <c r="J88" s="9" t="str">
        <f aca="false">IF($A88="","",SUMPRODUCT((실적!$A$5:$A$204=$A88)*(COLUMN(실적!$D$4:$O$4)-COLUMN(실적!$D$4)+1&lt;=설정!$B$4)*실적!$D$5:$O$204))</f>
        <v/>
      </c>
      <c r="K88" s="9" t="str">
        <f aca="false">IF($A88="","",J88-I88)</f>
        <v/>
      </c>
      <c r="L88" s="10" t="str">
        <f aca="false">IF($A88="","",IF(I88=0,"n/a",K88/ABS(I88)))</f>
        <v/>
      </c>
      <c r="M88" s="11" t="str">
        <f aca="false">IF($A88="","",IF(K88=0,"-",IF((C88="매출")=(K88&gt;0),"유리","불리")))</f>
        <v/>
      </c>
      <c r="N88" s="18" t="str">
        <f aca="false">IF($A88="","",IF(AND(ABS(F88)&gt;=설정!$B$5,OR(D88=0,ABS(IF(D88=0,0,F88/D88))&gt;=설정!$B$6)),"●",""))</f>
        <v/>
      </c>
      <c r="O88" s="31"/>
      <c r="P88" s="44" t="str">
        <f aca="false">IF($A88="","",IF(N88="","",B88&amp;": 당월 실적 "&amp;TEXT(E88,"#,##0")&amp;설정!$B$7&amp;"으로 예산 대비 "&amp;TEXT(ABS(F88),"#,##0")&amp;설정!$B$7&amp;"("&amp;IF(D88=0,"예산 없음",TEXT(ABS(G88),"0.0%"))&amp;") "&amp;IF(C88="매출",IF(F88&gt;0,"상회","하회"),IF(F88&gt;0,"초과","절감"))&amp;" ["&amp;H88&amp;"]. 원인: "&amp;IF(O88="","___",O88)))</f>
        <v/>
      </c>
      <c r="Q88" s="45" t="str">
        <f aca="false">IF($A88="","",IF(N88="●",ABS(F88)+ROW()/1000000,0))</f>
        <v/>
      </c>
    </row>
    <row r="89" customFormat="false" ht="15" hidden="false" customHeight="false" outlineLevel="0" collapsed="false">
      <c r="A89" s="43" t="str">
        <f aca="false">IF(예산!A89="","",예산!A89)</f>
        <v/>
      </c>
      <c r="B89" s="43" t="str">
        <f aca="false">IF(예산!B89="","",예산!B89)</f>
        <v/>
      </c>
      <c r="C89" s="43" t="str">
        <f aca="false">IF(예산!C89="","",예산!C89)</f>
        <v/>
      </c>
      <c r="D89" s="9" t="str">
        <f aca="false">IF($A89="","",SUMIFS(INDEX(예산!$D$5:$O$204,0,설정!$B$4),예산!$A$5:$A$204,$A89))</f>
        <v/>
      </c>
      <c r="E89" s="9" t="str">
        <f aca="false">IF($A89="","",SUMIFS(INDEX(실적!$D$5:$O$204,0,설정!$B$4),실적!$A$5:$A$204,$A89))</f>
        <v/>
      </c>
      <c r="F89" s="9" t="str">
        <f aca="false">IF($A89="","",E89-D89)</f>
        <v/>
      </c>
      <c r="G89" s="10" t="str">
        <f aca="false">IF($A89="","",IF(D89=0,"n/a",F89/ABS(D89)))</f>
        <v/>
      </c>
      <c r="H89" s="11" t="str">
        <f aca="false">IF($A89="","",IF(F89=0,"-",IF((C89="매출")=(F89&gt;0),"유리","불리")))</f>
        <v/>
      </c>
      <c r="I89" s="9" t="str">
        <f aca="false">IF($A89="","",SUMPRODUCT((예산!$A$5:$A$204=$A89)*(COLUMN(예산!$D$4:$O$4)-COLUMN(예산!$D$4)+1&lt;=설정!$B$4)*예산!$D$5:$O$204))</f>
        <v/>
      </c>
      <c r="J89" s="9" t="str">
        <f aca="false">IF($A89="","",SUMPRODUCT((실적!$A$5:$A$204=$A89)*(COLUMN(실적!$D$4:$O$4)-COLUMN(실적!$D$4)+1&lt;=설정!$B$4)*실적!$D$5:$O$204))</f>
        <v/>
      </c>
      <c r="K89" s="9" t="str">
        <f aca="false">IF($A89="","",J89-I89)</f>
        <v/>
      </c>
      <c r="L89" s="10" t="str">
        <f aca="false">IF($A89="","",IF(I89=0,"n/a",K89/ABS(I89)))</f>
        <v/>
      </c>
      <c r="M89" s="11" t="str">
        <f aca="false">IF($A89="","",IF(K89=0,"-",IF((C89="매출")=(K89&gt;0),"유리","불리")))</f>
        <v/>
      </c>
      <c r="N89" s="18" t="str">
        <f aca="false">IF($A89="","",IF(AND(ABS(F89)&gt;=설정!$B$5,OR(D89=0,ABS(IF(D89=0,0,F89/D89))&gt;=설정!$B$6)),"●",""))</f>
        <v/>
      </c>
      <c r="O89" s="31"/>
      <c r="P89" s="44" t="str">
        <f aca="false">IF($A89="","",IF(N89="","",B89&amp;": 당월 실적 "&amp;TEXT(E89,"#,##0")&amp;설정!$B$7&amp;"으로 예산 대비 "&amp;TEXT(ABS(F89),"#,##0")&amp;설정!$B$7&amp;"("&amp;IF(D89=0,"예산 없음",TEXT(ABS(G89),"0.0%"))&amp;") "&amp;IF(C89="매출",IF(F89&gt;0,"상회","하회"),IF(F89&gt;0,"초과","절감"))&amp;" ["&amp;H89&amp;"]. 원인: "&amp;IF(O89="","___",O89)))</f>
        <v/>
      </c>
      <c r="Q89" s="45" t="str">
        <f aca="false">IF($A89="","",IF(N89="●",ABS(F89)+ROW()/1000000,0))</f>
        <v/>
      </c>
    </row>
    <row r="90" customFormat="false" ht="15" hidden="false" customHeight="false" outlineLevel="0" collapsed="false">
      <c r="A90" s="43" t="str">
        <f aca="false">IF(예산!A90="","",예산!A90)</f>
        <v/>
      </c>
      <c r="B90" s="43" t="str">
        <f aca="false">IF(예산!B90="","",예산!B90)</f>
        <v/>
      </c>
      <c r="C90" s="43" t="str">
        <f aca="false">IF(예산!C90="","",예산!C90)</f>
        <v/>
      </c>
      <c r="D90" s="9" t="str">
        <f aca="false">IF($A90="","",SUMIFS(INDEX(예산!$D$5:$O$204,0,설정!$B$4),예산!$A$5:$A$204,$A90))</f>
        <v/>
      </c>
      <c r="E90" s="9" t="str">
        <f aca="false">IF($A90="","",SUMIFS(INDEX(실적!$D$5:$O$204,0,설정!$B$4),실적!$A$5:$A$204,$A90))</f>
        <v/>
      </c>
      <c r="F90" s="9" t="str">
        <f aca="false">IF($A90="","",E90-D90)</f>
        <v/>
      </c>
      <c r="G90" s="10" t="str">
        <f aca="false">IF($A90="","",IF(D90=0,"n/a",F90/ABS(D90)))</f>
        <v/>
      </c>
      <c r="H90" s="11" t="str">
        <f aca="false">IF($A90="","",IF(F90=0,"-",IF((C90="매출")=(F90&gt;0),"유리","불리")))</f>
        <v/>
      </c>
      <c r="I90" s="9" t="str">
        <f aca="false">IF($A90="","",SUMPRODUCT((예산!$A$5:$A$204=$A90)*(COLUMN(예산!$D$4:$O$4)-COLUMN(예산!$D$4)+1&lt;=설정!$B$4)*예산!$D$5:$O$204))</f>
        <v/>
      </c>
      <c r="J90" s="9" t="str">
        <f aca="false">IF($A90="","",SUMPRODUCT((실적!$A$5:$A$204=$A90)*(COLUMN(실적!$D$4:$O$4)-COLUMN(실적!$D$4)+1&lt;=설정!$B$4)*실적!$D$5:$O$204))</f>
        <v/>
      </c>
      <c r="K90" s="9" t="str">
        <f aca="false">IF($A90="","",J90-I90)</f>
        <v/>
      </c>
      <c r="L90" s="10" t="str">
        <f aca="false">IF($A90="","",IF(I90=0,"n/a",K90/ABS(I90)))</f>
        <v/>
      </c>
      <c r="M90" s="11" t="str">
        <f aca="false">IF($A90="","",IF(K90=0,"-",IF((C90="매출")=(K90&gt;0),"유리","불리")))</f>
        <v/>
      </c>
      <c r="N90" s="18" t="str">
        <f aca="false">IF($A90="","",IF(AND(ABS(F90)&gt;=설정!$B$5,OR(D90=0,ABS(IF(D90=0,0,F90/D90))&gt;=설정!$B$6)),"●",""))</f>
        <v/>
      </c>
      <c r="O90" s="31"/>
      <c r="P90" s="44" t="str">
        <f aca="false">IF($A90="","",IF(N90="","",B90&amp;": 당월 실적 "&amp;TEXT(E90,"#,##0")&amp;설정!$B$7&amp;"으로 예산 대비 "&amp;TEXT(ABS(F90),"#,##0")&amp;설정!$B$7&amp;"("&amp;IF(D90=0,"예산 없음",TEXT(ABS(G90),"0.0%"))&amp;") "&amp;IF(C90="매출",IF(F90&gt;0,"상회","하회"),IF(F90&gt;0,"초과","절감"))&amp;" ["&amp;H90&amp;"]. 원인: "&amp;IF(O90="","___",O90)))</f>
        <v/>
      </c>
      <c r="Q90" s="45" t="str">
        <f aca="false">IF($A90="","",IF(N90="●",ABS(F90)+ROW()/1000000,0))</f>
        <v/>
      </c>
    </row>
    <row r="91" customFormat="false" ht="15" hidden="false" customHeight="false" outlineLevel="0" collapsed="false">
      <c r="A91" s="43" t="str">
        <f aca="false">IF(예산!A91="","",예산!A91)</f>
        <v/>
      </c>
      <c r="B91" s="43" t="str">
        <f aca="false">IF(예산!B91="","",예산!B91)</f>
        <v/>
      </c>
      <c r="C91" s="43" t="str">
        <f aca="false">IF(예산!C91="","",예산!C91)</f>
        <v/>
      </c>
      <c r="D91" s="9" t="str">
        <f aca="false">IF($A91="","",SUMIFS(INDEX(예산!$D$5:$O$204,0,설정!$B$4),예산!$A$5:$A$204,$A91))</f>
        <v/>
      </c>
      <c r="E91" s="9" t="str">
        <f aca="false">IF($A91="","",SUMIFS(INDEX(실적!$D$5:$O$204,0,설정!$B$4),실적!$A$5:$A$204,$A91))</f>
        <v/>
      </c>
      <c r="F91" s="9" t="str">
        <f aca="false">IF($A91="","",E91-D91)</f>
        <v/>
      </c>
      <c r="G91" s="10" t="str">
        <f aca="false">IF($A91="","",IF(D91=0,"n/a",F91/ABS(D91)))</f>
        <v/>
      </c>
      <c r="H91" s="11" t="str">
        <f aca="false">IF($A91="","",IF(F91=0,"-",IF((C91="매출")=(F91&gt;0),"유리","불리")))</f>
        <v/>
      </c>
      <c r="I91" s="9" t="str">
        <f aca="false">IF($A91="","",SUMPRODUCT((예산!$A$5:$A$204=$A91)*(COLUMN(예산!$D$4:$O$4)-COLUMN(예산!$D$4)+1&lt;=설정!$B$4)*예산!$D$5:$O$204))</f>
        <v/>
      </c>
      <c r="J91" s="9" t="str">
        <f aca="false">IF($A91="","",SUMPRODUCT((실적!$A$5:$A$204=$A91)*(COLUMN(실적!$D$4:$O$4)-COLUMN(실적!$D$4)+1&lt;=설정!$B$4)*실적!$D$5:$O$204))</f>
        <v/>
      </c>
      <c r="K91" s="9" t="str">
        <f aca="false">IF($A91="","",J91-I91)</f>
        <v/>
      </c>
      <c r="L91" s="10" t="str">
        <f aca="false">IF($A91="","",IF(I91=0,"n/a",K91/ABS(I91)))</f>
        <v/>
      </c>
      <c r="M91" s="11" t="str">
        <f aca="false">IF($A91="","",IF(K91=0,"-",IF((C91="매출")=(K91&gt;0),"유리","불리")))</f>
        <v/>
      </c>
      <c r="N91" s="18" t="str">
        <f aca="false">IF($A91="","",IF(AND(ABS(F91)&gt;=설정!$B$5,OR(D91=0,ABS(IF(D91=0,0,F91/D91))&gt;=설정!$B$6)),"●",""))</f>
        <v/>
      </c>
      <c r="O91" s="31"/>
      <c r="P91" s="44" t="str">
        <f aca="false">IF($A91="","",IF(N91="","",B91&amp;": 당월 실적 "&amp;TEXT(E91,"#,##0")&amp;설정!$B$7&amp;"으로 예산 대비 "&amp;TEXT(ABS(F91),"#,##0")&amp;설정!$B$7&amp;"("&amp;IF(D91=0,"예산 없음",TEXT(ABS(G91),"0.0%"))&amp;") "&amp;IF(C91="매출",IF(F91&gt;0,"상회","하회"),IF(F91&gt;0,"초과","절감"))&amp;" ["&amp;H91&amp;"]. 원인: "&amp;IF(O91="","___",O91)))</f>
        <v/>
      </c>
      <c r="Q91" s="45" t="str">
        <f aca="false">IF($A91="","",IF(N91="●",ABS(F91)+ROW()/1000000,0))</f>
        <v/>
      </c>
    </row>
    <row r="92" customFormat="false" ht="15" hidden="false" customHeight="false" outlineLevel="0" collapsed="false">
      <c r="A92" s="43" t="str">
        <f aca="false">IF(예산!A92="","",예산!A92)</f>
        <v/>
      </c>
      <c r="B92" s="43" t="str">
        <f aca="false">IF(예산!B92="","",예산!B92)</f>
        <v/>
      </c>
      <c r="C92" s="43" t="str">
        <f aca="false">IF(예산!C92="","",예산!C92)</f>
        <v/>
      </c>
      <c r="D92" s="9" t="str">
        <f aca="false">IF($A92="","",SUMIFS(INDEX(예산!$D$5:$O$204,0,설정!$B$4),예산!$A$5:$A$204,$A92))</f>
        <v/>
      </c>
      <c r="E92" s="9" t="str">
        <f aca="false">IF($A92="","",SUMIFS(INDEX(실적!$D$5:$O$204,0,설정!$B$4),실적!$A$5:$A$204,$A92))</f>
        <v/>
      </c>
      <c r="F92" s="9" t="str">
        <f aca="false">IF($A92="","",E92-D92)</f>
        <v/>
      </c>
      <c r="G92" s="10" t="str">
        <f aca="false">IF($A92="","",IF(D92=0,"n/a",F92/ABS(D92)))</f>
        <v/>
      </c>
      <c r="H92" s="11" t="str">
        <f aca="false">IF($A92="","",IF(F92=0,"-",IF((C92="매출")=(F92&gt;0),"유리","불리")))</f>
        <v/>
      </c>
      <c r="I92" s="9" t="str">
        <f aca="false">IF($A92="","",SUMPRODUCT((예산!$A$5:$A$204=$A92)*(COLUMN(예산!$D$4:$O$4)-COLUMN(예산!$D$4)+1&lt;=설정!$B$4)*예산!$D$5:$O$204))</f>
        <v/>
      </c>
      <c r="J92" s="9" t="str">
        <f aca="false">IF($A92="","",SUMPRODUCT((실적!$A$5:$A$204=$A92)*(COLUMN(실적!$D$4:$O$4)-COLUMN(실적!$D$4)+1&lt;=설정!$B$4)*실적!$D$5:$O$204))</f>
        <v/>
      </c>
      <c r="K92" s="9" t="str">
        <f aca="false">IF($A92="","",J92-I92)</f>
        <v/>
      </c>
      <c r="L92" s="10" t="str">
        <f aca="false">IF($A92="","",IF(I92=0,"n/a",K92/ABS(I92)))</f>
        <v/>
      </c>
      <c r="M92" s="11" t="str">
        <f aca="false">IF($A92="","",IF(K92=0,"-",IF((C92="매출")=(K92&gt;0),"유리","불리")))</f>
        <v/>
      </c>
      <c r="N92" s="18" t="str">
        <f aca="false">IF($A92="","",IF(AND(ABS(F92)&gt;=설정!$B$5,OR(D92=0,ABS(IF(D92=0,0,F92/D92))&gt;=설정!$B$6)),"●",""))</f>
        <v/>
      </c>
      <c r="O92" s="31"/>
      <c r="P92" s="44" t="str">
        <f aca="false">IF($A92="","",IF(N92="","",B92&amp;": 당월 실적 "&amp;TEXT(E92,"#,##0")&amp;설정!$B$7&amp;"으로 예산 대비 "&amp;TEXT(ABS(F92),"#,##0")&amp;설정!$B$7&amp;"("&amp;IF(D92=0,"예산 없음",TEXT(ABS(G92),"0.0%"))&amp;") "&amp;IF(C92="매출",IF(F92&gt;0,"상회","하회"),IF(F92&gt;0,"초과","절감"))&amp;" ["&amp;H92&amp;"]. 원인: "&amp;IF(O92="","___",O92)))</f>
        <v/>
      </c>
      <c r="Q92" s="45" t="str">
        <f aca="false">IF($A92="","",IF(N92="●",ABS(F92)+ROW()/1000000,0))</f>
        <v/>
      </c>
    </row>
    <row r="93" customFormat="false" ht="15" hidden="false" customHeight="false" outlineLevel="0" collapsed="false">
      <c r="A93" s="43" t="str">
        <f aca="false">IF(예산!A93="","",예산!A93)</f>
        <v/>
      </c>
      <c r="B93" s="43" t="str">
        <f aca="false">IF(예산!B93="","",예산!B93)</f>
        <v/>
      </c>
      <c r="C93" s="43" t="str">
        <f aca="false">IF(예산!C93="","",예산!C93)</f>
        <v/>
      </c>
      <c r="D93" s="9" t="str">
        <f aca="false">IF($A93="","",SUMIFS(INDEX(예산!$D$5:$O$204,0,설정!$B$4),예산!$A$5:$A$204,$A93))</f>
        <v/>
      </c>
      <c r="E93" s="9" t="str">
        <f aca="false">IF($A93="","",SUMIFS(INDEX(실적!$D$5:$O$204,0,설정!$B$4),실적!$A$5:$A$204,$A93))</f>
        <v/>
      </c>
      <c r="F93" s="9" t="str">
        <f aca="false">IF($A93="","",E93-D93)</f>
        <v/>
      </c>
      <c r="G93" s="10" t="str">
        <f aca="false">IF($A93="","",IF(D93=0,"n/a",F93/ABS(D93)))</f>
        <v/>
      </c>
      <c r="H93" s="11" t="str">
        <f aca="false">IF($A93="","",IF(F93=0,"-",IF((C93="매출")=(F93&gt;0),"유리","불리")))</f>
        <v/>
      </c>
      <c r="I93" s="9" t="str">
        <f aca="false">IF($A93="","",SUMPRODUCT((예산!$A$5:$A$204=$A93)*(COLUMN(예산!$D$4:$O$4)-COLUMN(예산!$D$4)+1&lt;=설정!$B$4)*예산!$D$5:$O$204))</f>
        <v/>
      </c>
      <c r="J93" s="9" t="str">
        <f aca="false">IF($A93="","",SUMPRODUCT((실적!$A$5:$A$204=$A93)*(COLUMN(실적!$D$4:$O$4)-COLUMN(실적!$D$4)+1&lt;=설정!$B$4)*실적!$D$5:$O$204))</f>
        <v/>
      </c>
      <c r="K93" s="9" t="str">
        <f aca="false">IF($A93="","",J93-I93)</f>
        <v/>
      </c>
      <c r="L93" s="10" t="str">
        <f aca="false">IF($A93="","",IF(I93=0,"n/a",K93/ABS(I93)))</f>
        <v/>
      </c>
      <c r="M93" s="11" t="str">
        <f aca="false">IF($A93="","",IF(K93=0,"-",IF((C93="매출")=(K93&gt;0),"유리","불리")))</f>
        <v/>
      </c>
      <c r="N93" s="18" t="str">
        <f aca="false">IF($A93="","",IF(AND(ABS(F93)&gt;=설정!$B$5,OR(D93=0,ABS(IF(D93=0,0,F93/D93))&gt;=설정!$B$6)),"●",""))</f>
        <v/>
      </c>
      <c r="O93" s="31"/>
      <c r="P93" s="44" t="str">
        <f aca="false">IF($A93="","",IF(N93="","",B93&amp;": 당월 실적 "&amp;TEXT(E93,"#,##0")&amp;설정!$B$7&amp;"으로 예산 대비 "&amp;TEXT(ABS(F93),"#,##0")&amp;설정!$B$7&amp;"("&amp;IF(D93=0,"예산 없음",TEXT(ABS(G93),"0.0%"))&amp;") "&amp;IF(C93="매출",IF(F93&gt;0,"상회","하회"),IF(F93&gt;0,"초과","절감"))&amp;" ["&amp;H93&amp;"]. 원인: "&amp;IF(O93="","___",O93)))</f>
        <v/>
      </c>
      <c r="Q93" s="45" t="str">
        <f aca="false">IF($A93="","",IF(N93="●",ABS(F93)+ROW()/1000000,0))</f>
        <v/>
      </c>
    </row>
    <row r="94" customFormat="false" ht="15" hidden="false" customHeight="false" outlineLevel="0" collapsed="false">
      <c r="A94" s="43" t="str">
        <f aca="false">IF(예산!A94="","",예산!A94)</f>
        <v/>
      </c>
      <c r="B94" s="43" t="str">
        <f aca="false">IF(예산!B94="","",예산!B94)</f>
        <v/>
      </c>
      <c r="C94" s="43" t="str">
        <f aca="false">IF(예산!C94="","",예산!C94)</f>
        <v/>
      </c>
      <c r="D94" s="9" t="str">
        <f aca="false">IF($A94="","",SUMIFS(INDEX(예산!$D$5:$O$204,0,설정!$B$4),예산!$A$5:$A$204,$A94))</f>
        <v/>
      </c>
      <c r="E94" s="9" t="str">
        <f aca="false">IF($A94="","",SUMIFS(INDEX(실적!$D$5:$O$204,0,설정!$B$4),실적!$A$5:$A$204,$A94))</f>
        <v/>
      </c>
      <c r="F94" s="9" t="str">
        <f aca="false">IF($A94="","",E94-D94)</f>
        <v/>
      </c>
      <c r="G94" s="10" t="str">
        <f aca="false">IF($A94="","",IF(D94=0,"n/a",F94/ABS(D94)))</f>
        <v/>
      </c>
      <c r="H94" s="11" t="str">
        <f aca="false">IF($A94="","",IF(F94=0,"-",IF((C94="매출")=(F94&gt;0),"유리","불리")))</f>
        <v/>
      </c>
      <c r="I94" s="9" t="str">
        <f aca="false">IF($A94="","",SUMPRODUCT((예산!$A$5:$A$204=$A94)*(COLUMN(예산!$D$4:$O$4)-COLUMN(예산!$D$4)+1&lt;=설정!$B$4)*예산!$D$5:$O$204))</f>
        <v/>
      </c>
      <c r="J94" s="9" t="str">
        <f aca="false">IF($A94="","",SUMPRODUCT((실적!$A$5:$A$204=$A94)*(COLUMN(실적!$D$4:$O$4)-COLUMN(실적!$D$4)+1&lt;=설정!$B$4)*실적!$D$5:$O$204))</f>
        <v/>
      </c>
      <c r="K94" s="9" t="str">
        <f aca="false">IF($A94="","",J94-I94)</f>
        <v/>
      </c>
      <c r="L94" s="10" t="str">
        <f aca="false">IF($A94="","",IF(I94=0,"n/a",K94/ABS(I94)))</f>
        <v/>
      </c>
      <c r="M94" s="11" t="str">
        <f aca="false">IF($A94="","",IF(K94=0,"-",IF((C94="매출")=(K94&gt;0),"유리","불리")))</f>
        <v/>
      </c>
      <c r="N94" s="18" t="str">
        <f aca="false">IF($A94="","",IF(AND(ABS(F94)&gt;=설정!$B$5,OR(D94=0,ABS(IF(D94=0,0,F94/D94))&gt;=설정!$B$6)),"●",""))</f>
        <v/>
      </c>
      <c r="O94" s="31"/>
      <c r="P94" s="44" t="str">
        <f aca="false">IF($A94="","",IF(N94="","",B94&amp;": 당월 실적 "&amp;TEXT(E94,"#,##0")&amp;설정!$B$7&amp;"으로 예산 대비 "&amp;TEXT(ABS(F94),"#,##0")&amp;설정!$B$7&amp;"("&amp;IF(D94=0,"예산 없음",TEXT(ABS(G94),"0.0%"))&amp;") "&amp;IF(C94="매출",IF(F94&gt;0,"상회","하회"),IF(F94&gt;0,"초과","절감"))&amp;" ["&amp;H94&amp;"]. 원인: "&amp;IF(O94="","___",O94)))</f>
        <v/>
      </c>
      <c r="Q94" s="45" t="str">
        <f aca="false">IF($A94="","",IF(N94="●",ABS(F94)+ROW()/1000000,0))</f>
        <v/>
      </c>
    </row>
    <row r="95" customFormat="false" ht="15" hidden="false" customHeight="false" outlineLevel="0" collapsed="false">
      <c r="A95" s="43" t="str">
        <f aca="false">IF(예산!A95="","",예산!A95)</f>
        <v/>
      </c>
      <c r="B95" s="43" t="str">
        <f aca="false">IF(예산!B95="","",예산!B95)</f>
        <v/>
      </c>
      <c r="C95" s="43" t="str">
        <f aca="false">IF(예산!C95="","",예산!C95)</f>
        <v/>
      </c>
      <c r="D95" s="9" t="str">
        <f aca="false">IF($A95="","",SUMIFS(INDEX(예산!$D$5:$O$204,0,설정!$B$4),예산!$A$5:$A$204,$A95))</f>
        <v/>
      </c>
      <c r="E95" s="9" t="str">
        <f aca="false">IF($A95="","",SUMIFS(INDEX(실적!$D$5:$O$204,0,설정!$B$4),실적!$A$5:$A$204,$A95))</f>
        <v/>
      </c>
      <c r="F95" s="9" t="str">
        <f aca="false">IF($A95="","",E95-D95)</f>
        <v/>
      </c>
      <c r="G95" s="10" t="str">
        <f aca="false">IF($A95="","",IF(D95=0,"n/a",F95/ABS(D95)))</f>
        <v/>
      </c>
      <c r="H95" s="11" t="str">
        <f aca="false">IF($A95="","",IF(F95=0,"-",IF((C95="매출")=(F95&gt;0),"유리","불리")))</f>
        <v/>
      </c>
      <c r="I95" s="9" t="str">
        <f aca="false">IF($A95="","",SUMPRODUCT((예산!$A$5:$A$204=$A95)*(COLUMN(예산!$D$4:$O$4)-COLUMN(예산!$D$4)+1&lt;=설정!$B$4)*예산!$D$5:$O$204))</f>
        <v/>
      </c>
      <c r="J95" s="9" t="str">
        <f aca="false">IF($A95="","",SUMPRODUCT((실적!$A$5:$A$204=$A95)*(COLUMN(실적!$D$4:$O$4)-COLUMN(실적!$D$4)+1&lt;=설정!$B$4)*실적!$D$5:$O$204))</f>
        <v/>
      </c>
      <c r="K95" s="9" t="str">
        <f aca="false">IF($A95="","",J95-I95)</f>
        <v/>
      </c>
      <c r="L95" s="10" t="str">
        <f aca="false">IF($A95="","",IF(I95=0,"n/a",K95/ABS(I95)))</f>
        <v/>
      </c>
      <c r="M95" s="11" t="str">
        <f aca="false">IF($A95="","",IF(K95=0,"-",IF((C95="매출")=(K95&gt;0),"유리","불리")))</f>
        <v/>
      </c>
      <c r="N95" s="18" t="str">
        <f aca="false">IF($A95="","",IF(AND(ABS(F95)&gt;=설정!$B$5,OR(D95=0,ABS(IF(D95=0,0,F95/D95))&gt;=설정!$B$6)),"●",""))</f>
        <v/>
      </c>
      <c r="O95" s="31"/>
      <c r="P95" s="44" t="str">
        <f aca="false">IF($A95="","",IF(N95="","",B95&amp;": 당월 실적 "&amp;TEXT(E95,"#,##0")&amp;설정!$B$7&amp;"으로 예산 대비 "&amp;TEXT(ABS(F95),"#,##0")&amp;설정!$B$7&amp;"("&amp;IF(D95=0,"예산 없음",TEXT(ABS(G95),"0.0%"))&amp;") "&amp;IF(C95="매출",IF(F95&gt;0,"상회","하회"),IF(F95&gt;0,"초과","절감"))&amp;" ["&amp;H95&amp;"]. 원인: "&amp;IF(O95="","___",O95)))</f>
        <v/>
      </c>
      <c r="Q95" s="45" t="str">
        <f aca="false">IF($A95="","",IF(N95="●",ABS(F95)+ROW()/1000000,0))</f>
        <v/>
      </c>
    </row>
    <row r="96" customFormat="false" ht="15" hidden="false" customHeight="false" outlineLevel="0" collapsed="false">
      <c r="A96" s="43" t="str">
        <f aca="false">IF(예산!A96="","",예산!A96)</f>
        <v/>
      </c>
      <c r="B96" s="43" t="str">
        <f aca="false">IF(예산!B96="","",예산!B96)</f>
        <v/>
      </c>
      <c r="C96" s="43" t="str">
        <f aca="false">IF(예산!C96="","",예산!C96)</f>
        <v/>
      </c>
      <c r="D96" s="9" t="str">
        <f aca="false">IF($A96="","",SUMIFS(INDEX(예산!$D$5:$O$204,0,설정!$B$4),예산!$A$5:$A$204,$A96))</f>
        <v/>
      </c>
      <c r="E96" s="9" t="str">
        <f aca="false">IF($A96="","",SUMIFS(INDEX(실적!$D$5:$O$204,0,설정!$B$4),실적!$A$5:$A$204,$A96))</f>
        <v/>
      </c>
      <c r="F96" s="9" t="str">
        <f aca="false">IF($A96="","",E96-D96)</f>
        <v/>
      </c>
      <c r="G96" s="10" t="str">
        <f aca="false">IF($A96="","",IF(D96=0,"n/a",F96/ABS(D96)))</f>
        <v/>
      </c>
      <c r="H96" s="11" t="str">
        <f aca="false">IF($A96="","",IF(F96=0,"-",IF((C96="매출")=(F96&gt;0),"유리","불리")))</f>
        <v/>
      </c>
      <c r="I96" s="9" t="str">
        <f aca="false">IF($A96="","",SUMPRODUCT((예산!$A$5:$A$204=$A96)*(COLUMN(예산!$D$4:$O$4)-COLUMN(예산!$D$4)+1&lt;=설정!$B$4)*예산!$D$5:$O$204))</f>
        <v/>
      </c>
      <c r="J96" s="9" t="str">
        <f aca="false">IF($A96="","",SUMPRODUCT((실적!$A$5:$A$204=$A96)*(COLUMN(실적!$D$4:$O$4)-COLUMN(실적!$D$4)+1&lt;=설정!$B$4)*실적!$D$5:$O$204))</f>
        <v/>
      </c>
      <c r="K96" s="9" t="str">
        <f aca="false">IF($A96="","",J96-I96)</f>
        <v/>
      </c>
      <c r="L96" s="10" t="str">
        <f aca="false">IF($A96="","",IF(I96=0,"n/a",K96/ABS(I96)))</f>
        <v/>
      </c>
      <c r="M96" s="11" t="str">
        <f aca="false">IF($A96="","",IF(K96=0,"-",IF((C96="매출")=(K96&gt;0),"유리","불리")))</f>
        <v/>
      </c>
      <c r="N96" s="18" t="str">
        <f aca="false">IF($A96="","",IF(AND(ABS(F96)&gt;=설정!$B$5,OR(D96=0,ABS(IF(D96=0,0,F96/D96))&gt;=설정!$B$6)),"●",""))</f>
        <v/>
      </c>
      <c r="O96" s="31"/>
      <c r="P96" s="44" t="str">
        <f aca="false">IF($A96="","",IF(N96="","",B96&amp;": 당월 실적 "&amp;TEXT(E96,"#,##0")&amp;설정!$B$7&amp;"으로 예산 대비 "&amp;TEXT(ABS(F96),"#,##0")&amp;설정!$B$7&amp;"("&amp;IF(D96=0,"예산 없음",TEXT(ABS(G96),"0.0%"))&amp;") "&amp;IF(C96="매출",IF(F96&gt;0,"상회","하회"),IF(F96&gt;0,"초과","절감"))&amp;" ["&amp;H96&amp;"]. 원인: "&amp;IF(O96="","___",O96)))</f>
        <v/>
      </c>
      <c r="Q96" s="45" t="str">
        <f aca="false">IF($A96="","",IF(N96="●",ABS(F96)+ROW()/1000000,0))</f>
        <v/>
      </c>
    </row>
    <row r="97" customFormat="false" ht="15" hidden="false" customHeight="false" outlineLevel="0" collapsed="false">
      <c r="A97" s="43" t="str">
        <f aca="false">IF(예산!A97="","",예산!A97)</f>
        <v/>
      </c>
      <c r="B97" s="43" t="str">
        <f aca="false">IF(예산!B97="","",예산!B97)</f>
        <v/>
      </c>
      <c r="C97" s="43" t="str">
        <f aca="false">IF(예산!C97="","",예산!C97)</f>
        <v/>
      </c>
      <c r="D97" s="9" t="str">
        <f aca="false">IF($A97="","",SUMIFS(INDEX(예산!$D$5:$O$204,0,설정!$B$4),예산!$A$5:$A$204,$A97))</f>
        <v/>
      </c>
      <c r="E97" s="9" t="str">
        <f aca="false">IF($A97="","",SUMIFS(INDEX(실적!$D$5:$O$204,0,설정!$B$4),실적!$A$5:$A$204,$A97))</f>
        <v/>
      </c>
      <c r="F97" s="9" t="str">
        <f aca="false">IF($A97="","",E97-D97)</f>
        <v/>
      </c>
      <c r="G97" s="10" t="str">
        <f aca="false">IF($A97="","",IF(D97=0,"n/a",F97/ABS(D97)))</f>
        <v/>
      </c>
      <c r="H97" s="11" t="str">
        <f aca="false">IF($A97="","",IF(F97=0,"-",IF((C97="매출")=(F97&gt;0),"유리","불리")))</f>
        <v/>
      </c>
      <c r="I97" s="9" t="str">
        <f aca="false">IF($A97="","",SUMPRODUCT((예산!$A$5:$A$204=$A97)*(COLUMN(예산!$D$4:$O$4)-COLUMN(예산!$D$4)+1&lt;=설정!$B$4)*예산!$D$5:$O$204))</f>
        <v/>
      </c>
      <c r="J97" s="9" t="str">
        <f aca="false">IF($A97="","",SUMPRODUCT((실적!$A$5:$A$204=$A97)*(COLUMN(실적!$D$4:$O$4)-COLUMN(실적!$D$4)+1&lt;=설정!$B$4)*실적!$D$5:$O$204))</f>
        <v/>
      </c>
      <c r="K97" s="9" t="str">
        <f aca="false">IF($A97="","",J97-I97)</f>
        <v/>
      </c>
      <c r="L97" s="10" t="str">
        <f aca="false">IF($A97="","",IF(I97=0,"n/a",K97/ABS(I97)))</f>
        <v/>
      </c>
      <c r="M97" s="11" t="str">
        <f aca="false">IF($A97="","",IF(K97=0,"-",IF((C97="매출")=(K97&gt;0),"유리","불리")))</f>
        <v/>
      </c>
      <c r="N97" s="18" t="str">
        <f aca="false">IF($A97="","",IF(AND(ABS(F97)&gt;=설정!$B$5,OR(D97=0,ABS(IF(D97=0,0,F97/D97))&gt;=설정!$B$6)),"●",""))</f>
        <v/>
      </c>
      <c r="O97" s="31"/>
      <c r="P97" s="44" t="str">
        <f aca="false">IF($A97="","",IF(N97="","",B97&amp;": 당월 실적 "&amp;TEXT(E97,"#,##0")&amp;설정!$B$7&amp;"으로 예산 대비 "&amp;TEXT(ABS(F97),"#,##0")&amp;설정!$B$7&amp;"("&amp;IF(D97=0,"예산 없음",TEXT(ABS(G97),"0.0%"))&amp;") "&amp;IF(C97="매출",IF(F97&gt;0,"상회","하회"),IF(F97&gt;0,"초과","절감"))&amp;" ["&amp;H97&amp;"]. 원인: "&amp;IF(O97="","___",O97)))</f>
        <v/>
      </c>
      <c r="Q97" s="45" t="str">
        <f aca="false">IF($A97="","",IF(N97="●",ABS(F97)+ROW()/1000000,0))</f>
        <v/>
      </c>
    </row>
    <row r="98" customFormat="false" ht="15" hidden="false" customHeight="false" outlineLevel="0" collapsed="false">
      <c r="A98" s="43" t="str">
        <f aca="false">IF(예산!A98="","",예산!A98)</f>
        <v/>
      </c>
      <c r="B98" s="43" t="str">
        <f aca="false">IF(예산!B98="","",예산!B98)</f>
        <v/>
      </c>
      <c r="C98" s="43" t="str">
        <f aca="false">IF(예산!C98="","",예산!C98)</f>
        <v/>
      </c>
      <c r="D98" s="9" t="str">
        <f aca="false">IF($A98="","",SUMIFS(INDEX(예산!$D$5:$O$204,0,설정!$B$4),예산!$A$5:$A$204,$A98))</f>
        <v/>
      </c>
      <c r="E98" s="9" t="str">
        <f aca="false">IF($A98="","",SUMIFS(INDEX(실적!$D$5:$O$204,0,설정!$B$4),실적!$A$5:$A$204,$A98))</f>
        <v/>
      </c>
      <c r="F98" s="9" t="str">
        <f aca="false">IF($A98="","",E98-D98)</f>
        <v/>
      </c>
      <c r="G98" s="10" t="str">
        <f aca="false">IF($A98="","",IF(D98=0,"n/a",F98/ABS(D98)))</f>
        <v/>
      </c>
      <c r="H98" s="11" t="str">
        <f aca="false">IF($A98="","",IF(F98=0,"-",IF((C98="매출")=(F98&gt;0),"유리","불리")))</f>
        <v/>
      </c>
      <c r="I98" s="9" t="str">
        <f aca="false">IF($A98="","",SUMPRODUCT((예산!$A$5:$A$204=$A98)*(COLUMN(예산!$D$4:$O$4)-COLUMN(예산!$D$4)+1&lt;=설정!$B$4)*예산!$D$5:$O$204))</f>
        <v/>
      </c>
      <c r="J98" s="9" t="str">
        <f aca="false">IF($A98="","",SUMPRODUCT((실적!$A$5:$A$204=$A98)*(COLUMN(실적!$D$4:$O$4)-COLUMN(실적!$D$4)+1&lt;=설정!$B$4)*실적!$D$5:$O$204))</f>
        <v/>
      </c>
      <c r="K98" s="9" t="str">
        <f aca="false">IF($A98="","",J98-I98)</f>
        <v/>
      </c>
      <c r="L98" s="10" t="str">
        <f aca="false">IF($A98="","",IF(I98=0,"n/a",K98/ABS(I98)))</f>
        <v/>
      </c>
      <c r="M98" s="11" t="str">
        <f aca="false">IF($A98="","",IF(K98=0,"-",IF((C98="매출")=(K98&gt;0),"유리","불리")))</f>
        <v/>
      </c>
      <c r="N98" s="18" t="str">
        <f aca="false">IF($A98="","",IF(AND(ABS(F98)&gt;=설정!$B$5,OR(D98=0,ABS(IF(D98=0,0,F98/D98))&gt;=설정!$B$6)),"●",""))</f>
        <v/>
      </c>
      <c r="O98" s="31"/>
      <c r="P98" s="44" t="str">
        <f aca="false">IF($A98="","",IF(N98="","",B98&amp;": 당월 실적 "&amp;TEXT(E98,"#,##0")&amp;설정!$B$7&amp;"으로 예산 대비 "&amp;TEXT(ABS(F98),"#,##0")&amp;설정!$B$7&amp;"("&amp;IF(D98=0,"예산 없음",TEXT(ABS(G98),"0.0%"))&amp;") "&amp;IF(C98="매출",IF(F98&gt;0,"상회","하회"),IF(F98&gt;0,"초과","절감"))&amp;" ["&amp;H98&amp;"]. 원인: "&amp;IF(O98="","___",O98)))</f>
        <v/>
      </c>
      <c r="Q98" s="45" t="str">
        <f aca="false">IF($A98="","",IF(N98="●",ABS(F98)+ROW()/1000000,0))</f>
        <v/>
      </c>
    </row>
    <row r="99" customFormat="false" ht="15" hidden="false" customHeight="false" outlineLevel="0" collapsed="false">
      <c r="A99" s="43" t="str">
        <f aca="false">IF(예산!A99="","",예산!A99)</f>
        <v/>
      </c>
      <c r="B99" s="43" t="str">
        <f aca="false">IF(예산!B99="","",예산!B99)</f>
        <v/>
      </c>
      <c r="C99" s="43" t="str">
        <f aca="false">IF(예산!C99="","",예산!C99)</f>
        <v/>
      </c>
      <c r="D99" s="9" t="str">
        <f aca="false">IF($A99="","",SUMIFS(INDEX(예산!$D$5:$O$204,0,설정!$B$4),예산!$A$5:$A$204,$A99))</f>
        <v/>
      </c>
      <c r="E99" s="9" t="str">
        <f aca="false">IF($A99="","",SUMIFS(INDEX(실적!$D$5:$O$204,0,설정!$B$4),실적!$A$5:$A$204,$A99))</f>
        <v/>
      </c>
      <c r="F99" s="9" t="str">
        <f aca="false">IF($A99="","",E99-D99)</f>
        <v/>
      </c>
      <c r="G99" s="10" t="str">
        <f aca="false">IF($A99="","",IF(D99=0,"n/a",F99/ABS(D99)))</f>
        <v/>
      </c>
      <c r="H99" s="11" t="str">
        <f aca="false">IF($A99="","",IF(F99=0,"-",IF((C99="매출")=(F99&gt;0),"유리","불리")))</f>
        <v/>
      </c>
      <c r="I99" s="9" t="str">
        <f aca="false">IF($A99="","",SUMPRODUCT((예산!$A$5:$A$204=$A99)*(COLUMN(예산!$D$4:$O$4)-COLUMN(예산!$D$4)+1&lt;=설정!$B$4)*예산!$D$5:$O$204))</f>
        <v/>
      </c>
      <c r="J99" s="9" t="str">
        <f aca="false">IF($A99="","",SUMPRODUCT((실적!$A$5:$A$204=$A99)*(COLUMN(실적!$D$4:$O$4)-COLUMN(실적!$D$4)+1&lt;=설정!$B$4)*실적!$D$5:$O$204))</f>
        <v/>
      </c>
      <c r="K99" s="9" t="str">
        <f aca="false">IF($A99="","",J99-I99)</f>
        <v/>
      </c>
      <c r="L99" s="10" t="str">
        <f aca="false">IF($A99="","",IF(I99=0,"n/a",K99/ABS(I99)))</f>
        <v/>
      </c>
      <c r="M99" s="11" t="str">
        <f aca="false">IF($A99="","",IF(K99=0,"-",IF((C99="매출")=(K99&gt;0),"유리","불리")))</f>
        <v/>
      </c>
      <c r="N99" s="18" t="str">
        <f aca="false">IF($A99="","",IF(AND(ABS(F99)&gt;=설정!$B$5,OR(D99=0,ABS(IF(D99=0,0,F99/D99))&gt;=설정!$B$6)),"●",""))</f>
        <v/>
      </c>
      <c r="O99" s="31"/>
      <c r="P99" s="44" t="str">
        <f aca="false">IF($A99="","",IF(N99="","",B99&amp;": 당월 실적 "&amp;TEXT(E99,"#,##0")&amp;설정!$B$7&amp;"으로 예산 대비 "&amp;TEXT(ABS(F99),"#,##0")&amp;설정!$B$7&amp;"("&amp;IF(D99=0,"예산 없음",TEXT(ABS(G99),"0.0%"))&amp;") "&amp;IF(C99="매출",IF(F99&gt;0,"상회","하회"),IF(F99&gt;0,"초과","절감"))&amp;" ["&amp;H99&amp;"]. 원인: "&amp;IF(O99="","___",O99)))</f>
        <v/>
      </c>
      <c r="Q99" s="45" t="str">
        <f aca="false">IF($A99="","",IF(N99="●",ABS(F99)+ROW()/1000000,0))</f>
        <v/>
      </c>
    </row>
    <row r="100" customFormat="false" ht="15" hidden="false" customHeight="false" outlineLevel="0" collapsed="false">
      <c r="A100" s="43" t="str">
        <f aca="false">IF(예산!A100="","",예산!A100)</f>
        <v/>
      </c>
      <c r="B100" s="43" t="str">
        <f aca="false">IF(예산!B100="","",예산!B100)</f>
        <v/>
      </c>
      <c r="C100" s="43" t="str">
        <f aca="false">IF(예산!C100="","",예산!C100)</f>
        <v/>
      </c>
      <c r="D100" s="9" t="str">
        <f aca="false">IF($A100="","",SUMIFS(INDEX(예산!$D$5:$O$204,0,설정!$B$4),예산!$A$5:$A$204,$A100))</f>
        <v/>
      </c>
      <c r="E100" s="9" t="str">
        <f aca="false">IF($A100="","",SUMIFS(INDEX(실적!$D$5:$O$204,0,설정!$B$4),실적!$A$5:$A$204,$A100))</f>
        <v/>
      </c>
      <c r="F100" s="9" t="str">
        <f aca="false">IF($A100="","",E100-D100)</f>
        <v/>
      </c>
      <c r="G100" s="10" t="str">
        <f aca="false">IF($A100="","",IF(D100=0,"n/a",F100/ABS(D100)))</f>
        <v/>
      </c>
      <c r="H100" s="11" t="str">
        <f aca="false">IF($A100="","",IF(F100=0,"-",IF((C100="매출")=(F100&gt;0),"유리","불리")))</f>
        <v/>
      </c>
      <c r="I100" s="9" t="str">
        <f aca="false">IF($A100="","",SUMPRODUCT((예산!$A$5:$A$204=$A100)*(COLUMN(예산!$D$4:$O$4)-COLUMN(예산!$D$4)+1&lt;=설정!$B$4)*예산!$D$5:$O$204))</f>
        <v/>
      </c>
      <c r="J100" s="9" t="str">
        <f aca="false">IF($A100="","",SUMPRODUCT((실적!$A$5:$A$204=$A100)*(COLUMN(실적!$D$4:$O$4)-COLUMN(실적!$D$4)+1&lt;=설정!$B$4)*실적!$D$5:$O$204))</f>
        <v/>
      </c>
      <c r="K100" s="9" t="str">
        <f aca="false">IF($A100="","",J100-I100)</f>
        <v/>
      </c>
      <c r="L100" s="10" t="str">
        <f aca="false">IF($A100="","",IF(I100=0,"n/a",K100/ABS(I100)))</f>
        <v/>
      </c>
      <c r="M100" s="11" t="str">
        <f aca="false">IF($A100="","",IF(K100=0,"-",IF((C100="매출")=(K100&gt;0),"유리","불리")))</f>
        <v/>
      </c>
      <c r="N100" s="18" t="str">
        <f aca="false">IF($A100="","",IF(AND(ABS(F100)&gt;=설정!$B$5,OR(D100=0,ABS(IF(D100=0,0,F100/D100))&gt;=설정!$B$6)),"●",""))</f>
        <v/>
      </c>
      <c r="O100" s="31"/>
      <c r="P100" s="44" t="str">
        <f aca="false">IF($A100="","",IF(N100="","",B100&amp;": 당월 실적 "&amp;TEXT(E100,"#,##0")&amp;설정!$B$7&amp;"으로 예산 대비 "&amp;TEXT(ABS(F100),"#,##0")&amp;설정!$B$7&amp;"("&amp;IF(D100=0,"예산 없음",TEXT(ABS(G100),"0.0%"))&amp;") "&amp;IF(C100="매출",IF(F100&gt;0,"상회","하회"),IF(F100&gt;0,"초과","절감"))&amp;" ["&amp;H100&amp;"]. 원인: "&amp;IF(O100="","___",O100)))</f>
        <v/>
      </c>
      <c r="Q100" s="45" t="str">
        <f aca="false">IF($A100="","",IF(N100="●",ABS(F100)+ROW()/1000000,0))</f>
        <v/>
      </c>
    </row>
    <row r="101" customFormat="false" ht="15" hidden="false" customHeight="false" outlineLevel="0" collapsed="false">
      <c r="A101" s="43" t="str">
        <f aca="false">IF(예산!A101="","",예산!A101)</f>
        <v/>
      </c>
      <c r="B101" s="43" t="str">
        <f aca="false">IF(예산!B101="","",예산!B101)</f>
        <v/>
      </c>
      <c r="C101" s="43" t="str">
        <f aca="false">IF(예산!C101="","",예산!C101)</f>
        <v/>
      </c>
      <c r="D101" s="9" t="str">
        <f aca="false">IF($A101="","",SUMIFS(INDEX(예산!$D$5:$O$204,0,설정!$B$4),예산!$A$5:$A$204,$A101))</f>
        <v/>
      </c>
      <c r="E101" s="9" t="str">
        <f aca="false">IF($A101="","",SUMIFS(INDEX(실적!$D$5:$O$204,0,설정!$B$4),실적!$A$5:$A$204,$A101))</f>
        <v/>
      </c>
      <c r="F101" s="9" t="str">
        <f aca="false">IF($A101="","",E101-D101)</f>
        <v/>
      </c>
      <c r="G101" s="10" t="str">
        <f aca="false">IF($A101="","",IF(D101=0,"n/a",F101/ABS(D101)))</f>
        <v/>
      </c>
      <c r="H101" s="11" t="str">
        <f aca="false">IF($A101="","",IF(F101=0,"-",IF((C101="매출")=(F101&gt;0),"유리","불리")))</f>
        <v/>
      </c>
      <c r="I101" s="9" t="str">
        <f aca="false">IF($A101="","",SUMPRODUCT((예산!$A$5:$A$204=$A101)*(COLUMN(예산!$D$4:$O$4)-COLUMN(예산!$D$4)+1&lt;=설정!$B$4)*예산!$D$5:$O$204))</f>
        <v/>
      </c>
      <c r="J101" s="9" t="str">
        <f aca="false">IF($A101="","",SUMPRODUCT((실적!$A$5:$A$204=$A101)*(COLUMN(실적!$D$4:$O$4)-COLUMN(실적!$D$4)+1&lt;=설정!$B$4)*실적!$D$5:$O$204))</f>
        <v/>
      </c>
      <c r="K101" s="9" t="str">
        <f aca="false">IF($A101="","",J101-I101)</f>
        <v/>
      </c>
      <c r="L101" s="10" t="str">
        <f aca="false">IF($A101="","",IF(I101=0,"n/a",K101/ABS(I101)))</f>
        <v/>
      </c>
      <c r="M101" s="11" t="str">
        <f aca="false">IF($A101="","",IF(K101=0,"-",IF((C101="매출")=(K101&gt;0),"유리","불리")))</f>
        <v/>
      </c>
      <c r="N101" s="18" t="str">
        <f aca="false">IF($A101="","",IF(AND(ABS(F101)&gt;=설정!$B$5,OR(D101=0,ABS(IF(D101=0,0,F101/D101))&gt;=설정!$B$6)),"●",""))</f>
        <v/>
      </c>
      <c r="O101" s="31"/>
      <c r="P101" s="44" t="str">
        <f aca="false">IF($A101="","",IF(N101="","",B101&amp;": 당월 실적 "&amp;TEXT(E101,"#,##0")&amp;설정!$B$7&amp;"으로 예산 대비 "&amp;TEXT(ABS(F101),"#,##0")&amp;설정!$B$7&amp;"("&amp;IF(D101=0,"예산 없음",TEXT(ABS(G101),"0.0%"))&amp;") "&amp;IF(C101="매출",IF(F101&gt;0,"상회","하회"),IF(F101&gt;0,"초과","절감"))&amp;" ["&amp;H101&amp;"]. 원인: "&amp;IF(O101="","___",O101)))</f>
        <v/>
      </c>
      <c r="Q101" s="45" t="str">
        <f aca="false">IF($A101="","",IF(N101="●",ABS(F101)+ROW()/1000000,0))</f>
        <v/>
      </c>
    </row>
    <row r="102" customFormat="false" ht="15" hidden="false" customHeight="false" outlineLevel="0" collapsed="false">
      <c r="A102" s="43" t="str">
        <f aca="false">IF(예산!A102="","",예산!A102)</f>
        <v/>
      </c>
      <c r="B102" s="43" t="str">
        <f aca="false">IF(예산!B102="","",예산!B102)</f>
        <v/>
      </c>
      <c r="C102" s="43" t="str">
        <f aca="false">IF(예산!C102="","",예산!C102)</f>
        <v/>
      </c>
      <c r="D102" s="9" t="str">
        <f aca="false">IF($A102="","",SUMIFS(INDEX(예산!$D$5:$O$204,0,설정!$B$4),예산!$A$5:$A$204,$A102))</f>
        <v/>
      </c>
      <c r="E102" s="9" t="str">
        <f aca="false">IF($A102="","",SUMIFS(INDEX(실적!$D$5:$O$204,0,설정!$B$4),실적!$A$5:$A$204,$A102))</f>
        <v/>
      </c>
      <c r="F102" s="9" t="str">
        <f aca="false">IF($A102="","",E102-D102)</f>
        <v/>
      </c>
      <c r="G102" s="10" t="str">
        <f aca="false">IF($A102="","",IF(D102=0,"n/a",F102/ABS(D102)))</f>
        <v/>
      </c>
      <c r="H102" s="11" t="str">
        <f aca="false">IF($A102="","",IF(F102=0,"-",IF((C102="매출")=(F102&gt;0),"유리","불리")))</f>
        <v/>
      </c>
      <c r="I102" s="9" t="str">
        <f aca="false">IF($A102="","",SUMPRODUCT((예산!$A$5:$A$204=$A102)*(COLUMN(예산!$D$4:$O$4)-COLUMN(예산!$D$4)+1&lt;=설정!$B$4)*예산!$D$5:$O$204))</f>
        <v/>
      </c>
      <c r="J102" s="9" t="str">
        <f aca="false">IF($A102="","",SUMPRODUCT((실적!$A$5:$A$204=$A102)*(COLUMN(실적!$D$4:$O$4)-COLUMN(실적!$D$4)+1&lt;=설정!$B$4)*실적!$D$5:$O$204))</f>
        <v/>
      </c>
      <c r="K102" s="9" t="str">
        <f aca="false">IF($A102="","",J102-I102)</f>
        <v/>
      </c>
      <c r="L102" s="10" t="str">
        <f aca="false">IF($A102="","",IF(I102=0,"n/a",K102/ABS(I102)))</f>
        <v/>
      </c>
      <c r="M102" s="11" t="str">
        <f aca="false">IF($A102="","",IF(K102=0,"-",IF((C102="매출")=(K102&gt;0),"유리","불리")))</f>
        <v/>
      </c>
      <c r="N102" s="18" t="str">
        <f aca="false">IF($A102="","",IF(AND(ABS(F102)&gt;=설정!$B$5,OR(D102=0,ABS(IF(D102=0,0,F102/D102))&gt;=설정!$B$6)),"●",""))</f>
        <v/>
      </c>
      <c r="O102" s="31"/>
      <c r="P102" s="44" t="str">
        <f aca="false">IF($A102="","",IF(N102="","",B102&amp;": 당월 실적 "&amp;TEXT(E102,"#,##0")&amp;설정!$B$7&amp;"으로 예산 대비 "&amp;TEXT(ABS(F102),"#,##0")&amp;설정!$B$7&amp;"("&amp;IF(D102=0,"예산 없음",TEXT(ABS(G102),"0.0%"))&amp;") "&amp;IF(C102="매출",IF(F102&gt;0,"상회","하회"),IF(F102&gt;0,"초과","절감"))&amp;" ["&amp;H102&amp;"]. 원인: "&amp;IF(O102="","___",O102)))</f>
        <v/>
      </c>
      <c r="Q102" s="45" t="str">
        <f aca="false">IF($A102="","",IF(N102="●",ABS(F102)+ROW()/1000000,0))</f>
        <v/>
      </c>
    </row>
    <row r="103" customFormat="false" ht="15" hidden="false" customHeight="false" outlineLevel="0" collapsed="false">
      <c r="A103" s="43" t="str">
        <f aca="false">IF(예산!A103="","",예산!A103)</f>
        <v/>
      </c>
      <c r="B103" s="43" t="str">
        <f aca="false">IF(예산!B103="","",예산!B103)</f>
        <v/>
      </c>
      <c r="C103" s="43" t="str">
        <f aca="false">IF(예산!C103="","",예산!C103)</f>
        <v/>
      </c>
      <c r="D103" s="9" t="str">
        <f aca="false">IF($A103="","",SUMIFS(INDEX(예산!$D$5:$O$204,0,설정!$B$4),예산!$A$5:$A$204,$A103))</f>
        <v/>
      </c>
      <c r="E103" s="9" t="str">
        <f aca="false">IF($A103="","",SUMIFS(INDEX(실적!$D$5:$O$204,0,설정!$B$4),실적!$A$5:$A$204,$A103))</f>
        <v/>
      </c>
      <c r="F103" s="9" t="str">
        <f aca="false">IF($A103="","",E103-D103)</f>
        <v/>
      </c>
      <c r="G103" s="10" t="str">
        <f aca="false">IF($A103="","",IF(D103=0,"n/a",F103/ABS(D103)))</f>
        <v/>
      </c>
      <c r="H103" s="11" t="str">
        <f aca="false">IF($A103="","",IF(F103=0,"-",IF((C103="매출")=(F103&gt;0),"유리","불리")))</f>
        <v/>
      </c>
      <c r="I103" s="9" t="str">
        <f aca="false">IF($A103="","",SUMPRODUCT((예산!$A$5:$A$204=$A103)*(COLUMN(예산!$D$4:$O$4)-COLUMN(예산!$D$4)+1&lt;=설정!$B$4)*예산!$D$5:$O$204))</f>
        <v/>
      </c>
      <c r="J103" s="9" t="str">
        <f aca="false">IF($A103="","",SUMPRODUCT((실적!$A$5:$A$204=$A103)*(COLUMN(실적!$D$4:$O$4)-COLUMN(실적!$D$4)+1&lt;=설정!$B$4)*실적!$D$5:$O$204))</f>
        <v/>
      </c>
      <c r="K103" s="9" t="str">
        <f aca="false">IF($A103="","",J103-I103)</f>
        <v/>
      </c>
      <c r="L103" s="10" t="str">
        <f aca="false">IF($A103="","",IF(I103=0,"n/a",K103/ABS(I103)))</f>
        <v/>
      </c>
      <c r="M103" s="11" t="str">
        <f aca="false">IF($A103="","",IF(K103=0,"-",IF((C103="매출")=(K103&gt;0),"유리","불리")))</f>
        <v/>
      </c>
      <c r="N103" s="18" t="str">
        <f aca="false">IF($A103="","",IF(AND(ABS(F103)&gt;=설정!$B$5,OR(D103=0,ABS(IF(D103=0,0,F103/D103))&gt;=설정!$B$6)),"●",""))</f>
        <v/>
      </c>
      <c r="O103" s="31"/>
      <c r="P103" s="44" t="str">
        <f aca="false">IF($A103="","",IF(N103="","",B103&amp;": 당월 실적 "&amp;TEXT(E103,"#,##0")&amp;설정!$B$7&amp;"으로 예산 대비 "&amp;TEXT(ABS(F103),"#,##0")&amp;설정!$B$7&amp;"("&amp;IF(D103=0,"예산 없음",TEXT(ABS(G103),"0.0%"))&amp;") "&amp;IF(C103="매출",IF(F103&gt;0,"상회","하회"),IF(F103&gt;0,"초과","절감"))&amp;" ["&amp;H103&amp;"]. 원인: "&amp;IF(O103="","___",O103)))</f>
        <v/>
      </c>
      <c r="Q103" s="45" t="str">
        <f aca="false">IF($A103="","",IF(N103="●",ABS(F103)+ROW()/1000000,0))</f>
        <v/>
      </c>
    </row>
    <row r="104" customFormat="false" ht="15" hidden="false" customHeight="false" outlineLevel="0" collapsed="false">
      <c r="A104" s="43" t="str">
        <f aca="false">IF(예산!A104="","",예산!A104)</f>
        <v/>
      </c>
      <c r="B104" s="43" t="str">
        <f aca="false">IF(예산!B104="","",예산!B104)</f>
        <v/>
      </c>
      <c r="C104" s="43" t="str">
        <f aca="false">IF(예산!C104="","",예산!C104)</f>
        <v/>
      </c>
      <c r="D104" s="9" t="str">
        <f aca="false">IF($A104="","",SUMIFS(INDEX(예산!$D$5:$O$204,0,설정!$B$4),예산!$A$5:$A$204,$A104))</f>
        <v/>
      </c>
      <c r="E104" s="9" t="str">
        <f aca="false">IF($A104="","",SUMIFS(INDEX(실적!$D$5:$O$204,0,설정!$B$4),실적!$A$5:$A$204,$A104))</f>
        <v/>
      </c>
      <c r="F104" s="9" t="str">
        <f aca="false">IF($A104="","",E104-D104)</f>
        <v/>
      </c>
      <c r="G104" s="10" t="str">
        <f aca="false">IF($A104="","",IF(D104=0,"n/a",F104/ABS(D104)))</f>
        <v/>
      </c>
      <c r="H104" s="11" t="str">
        <f aca="false">IF($A104="","",IF(F104=0,"-",IF((C104="매출")=(F104&gt;0),"유리","불리")))</f>
        <v/>
      </c>
      <c r="I104" s="9" t="str">
        <f aca="false">IF($A104="","",SUMPRODUCT((예산!$A$5:$A$204=$A104)*(COLUMN(예산!$D$4:$O$4)-COLUMN(예산!$D$4)+1&lt;=설정!$B$4)*예산!$D$5:$O$204))</f>
        <v/>
      </c>
      <c r="J104" s="9" t="str">
        <f aca="false">IF($A104="","",SUMPRODUCT((실적!$A$5:$A$204=$A104)*(COLUMN(실적!$D$4:$O$4)-COLUMN(실적!$D$4)+1&lt;=설정!$B$4)*실적!$D$5:$O$204))</f>
        <v/>
      </c>
      <c r="K104" s="9" t="str">
        <f aca="false">IF($A104="","",J104-I104)</f>
        <v/>
      </c>
      <c r="L104" s="10" t="str">
        <f aca="false">IF($A104="","",IF(I104=0,"n/a",K104/ABS(I104)))</f>
        <v/>
      </c>
      <c r="M104" s="11" t="str">
        <f aca="false">IF($A104="","",IF(K104=0,"-",IF((C104="매출")=(K104&gt;0),"유리","불리")))</f>
        <v/>
      </c>
      <c r="N104" s="18" t="str">
        <f aca="false">IF($A104="","",IF(AND(ABS(F104)&gt;=설정!$B$5,OR(D104=0,ABS(IF(D104=0,0,F104/D104))&gt;=설정!$B$6)),"●",""))</f>
        <v/>
      </c>
      <c r="O104" s="31"/>
      <c r="P104" s="44" t="str">
        <f aca="false">IF($A104="","",IF(N104="","",B104&amp;": 당월 실적 "&amp;TEXT(E104,"#,##0")&amp;설정!$B$7&amp;"으로 예산 대비 "&amp;TEXT(ABS(F104),"#,##0")&amp;설정!$B$7&amp;"("&amp;IF(D104=0,"예산 없음",TEXT(ABS(G104),"0.0%"))&amp;") "&amp;IF(C104="매출",IF(F104&gt;0,"상회","하회"),IF(F104&gt;0,"초과","절감"))&amp;" ["&amp;H104&amp;"]. 원인: "&amp;IF(O104="","___",O104)))</f>
        <v/>
      </c>
      <c r="Q104" s="45" t="str">
        <f aca="false">IF($A104="","",IF(N104="●",ABS(F104)+ROW()/1000000,0))</f>
        <v/>
      </c>
    </row>
    <row r="105" customFormat="false" ht="15" hidden="false" customHeight="false" outlineLevel="0" collapsed="false">
      <c r="A105" s="43" t="str">
        <f aca="false">IF(예산!A105="","",예산!A105)</f>
        <v/>
      </c>
      <c r="B105" s="43" t="str">
        <f aca="false">IF(예산!B105="","",예산!B105)</f>
        <v/>
      </c>
      <c r="C105" s="43" t="str">
        <f aca="false">IF(예산!C105="","",예산!C105)</f>
        <v/>
      </c>
      <c r="D105" s="9" t="str">
        <f aca="false">IF($A105="","",SUMIFS(INDEX(예산!$D$5:$O$204,0,설정!$B$4),예산!$A$5:$A$204,$A105))</f>
        <v/>
      </c>
      <c r="E105" s="9" t="str">
        <f aca="false">IF($A105="","",SUMIFS(INDEX(실적!$D$5:$O$204,0,설정!$B$4),실적!$A$5:$A$204,$A105))</f>
        <v/>
      </c>
      <c r="F105" s="9" t="str">
        <f aca="false">IF($A105="","",E105-D105)</f>
        <v/>
      </c>
      <c r="G105" s="10" t="str">
        <f aca="false">IF($A105="","",IF(D105=0,"n/a",F105/ABS(D105)))</f>
        <v/>
      </c>
      <c r="H105" s="11" t="str">
        <f aca="false">IF($A105="","",IF(F105=0,"-",IF((C105="매출")=(F105&gt;0),"유리","불리")))</f>
        <v/>
      </c>
      <c r="I105" s="9" t="str">
        <f aca="false">IF($A105="","",SUMPRODUCT((예산!$A$5:$A$204=$A105)*(COLUMN(예산!$D$4:$O$4)-COLUMN(예산!$D$4)+1&lt;=설정!$B$4)*예산!$D$5:$O$204))</f>
        <v/>
      </c>
      <c r="J105" s="9" t="str">
        <f aca="false">IF($A105="","",SUMPRODUCT((실적!$A$5:$A$204=$A105)*(COLUMN(실적!$D$4:$O$4)-COLUMN(실적!$D$4)+1&lt;=설정!$B$4)*실적!$D$5:$O$204))</f>
        <v/>
      </c>
      <c r="K105" s="9" t="str">
        <f aca="false">IF($A105="","",J105-I105)</f>
        <v/>
      </c>
      <c r="L105" s="10" t="str">
        <f aca="false">IF($A105="","",IF(I105=0,"n/a",K105/ABS(I105)))</f>
        <v/>
      </c>
      <c r="M105" s="11" t="str">
        <f aca="false">IF($A105="","",IF(K105=0,"-",IF((C105="매출")=(K105&gt;0),"유리","불리")))</f>
        <v/>
      </c>
      <c r="N105" s="18" t="str">
        <f aca="false">IF($A105="","",IF(AND(ABS(F105)&gt;=설정!$B$5,OR(D105=0,ABS(IF(D105=0,0,F105/D105))&gt;=설정!$B$6)),"●",""))</f>
        <v/>
      </c>
      <c r="O105" s="31"/>
      <c r="P105" s="44" t="str">
        <f aca="false">IF($A105="","",IF(N105="","",B105&amp;": 당월 실적 "&amp;TEXT(E105,"#,##0")&amp;설정!$B$7&amp;"으로 예산 대비 "&amp;TEXT(ABS(F105),"#,##0")&amp;설정!$B$7&amp;"("&amp;IF(D105=0,"예산 없음",TEXT(ABS(G105),"0.0%"))&amp;") "&amp;IF(C105="매출",IF(F105&gt;0,"상회","하회"),IF(F105&gt;0,"초과","절감"))&amp;" ["&amp;H105&amp;"]. 원인: "&amp;IF(O105="","___",O105)))</f>
        <v/>
      </c>
      <c r="Q105" s="45" t="str">
        <f aca="false">IF($A105="","",IF(N105="●",ABS(F105)+ROW()/1000000,0))</f>
        <v/>
      </c>
    </row>
    <row r="106" customFormat="false" ht="15" hidden="false" customHeight="false" outlineLevel="0" collapsed="false">
      <c r="A106" s="43" t="str">
        <f aca="false">IF(예산!A106="","",예산!A106)</f>
        <v/>
      </c>
      <c r="B106" s="43" t="str">
        <f aca="false">IF(예산!B106="","",예산!B106)</f>
        <v/>
      </c>
      <c r="C106" s="43" t="str">
        <f aca="false">IF(예산!C106="","",예산!C106)</f>
        <v/>
      </c>
      <c r="D106" s="9" t="str">
        <f aca="false">IF($A106="","",SUMIFS(INDEX(예산!$D$5:$O$204,0,설정!$B$4),예산!$A$5:$A$204,$A106))</f>
        <v/>
      </c>
      <c r="E106" s="9" t="str">
        <f aca="false">IF($A106="","",SUMIFS(INDEX(실적!$D$5:$O$204,0,설정!$B$4),실적!$A$5:$A$204,$A106))</f>
        <v/>
      </c>
      <c r="F106" s="9" t="str">
        <f aca="false">IF($A106="","",E106-D106)</f>
        <v/>
      </c>
      <c r="G106" s="10" t="str">
        <f aca="false">IF($A106="","",IF(D106=0,"n/a",F106/ABS(D106)))</f>
        <v/>
      </c>
      <c r="H106" s="11" t="str">
        <f aca="false">IF($A106="","",IF(F106=0,"-",IF((C106="매출")=(F106&gt;0),"유리","불리")))</f>
        <v/>
      </c>
      <c r="I106" s="9" t="str">
        <f aca="false">IF($A106="","",SUMPRODUCT((예산!$A$5:$A$204=$A106)*(COLUMN(예산!$D$4:$O$4)-COLUMN(예산!$D$4)+1&lt;=설정!$B$4)*예산!$D$5:$O$204))</f>
        <v/>
      </c>
      <c r="J106" s="9" t="str">
        <f aca="false">IF($A106="","",SUMPRODUCT((실적!$A$5:$A$204=$A106)*(COLUMN(실적!$D$4:$O$4)-COLUMN(실적!$D$4)+1&lt;=설정!$B$4)*실적!$D$5:$O$204))</f>
        <v/>
      </c>
      <c r="K106" s="9" t="str">
        <f aca="false">IF($A106="","",J106-I106)</f>
        <v/>
      </c>
      <c r="L106" s="10" t="str">
        <f aca="false">IF($A106="","",IF(I106=0,"n/a",K106/ABS(I106)))</f>
        <v/>
      </c>
      <c r="M106" s="11" t="str">
        <f aca="false">IF($A106="","",IF(K106=0,"-",IF((C106="매출")=(K106&gt;0),"유리","불리")))</f>
        <v/>
      </c>
      <c r="N106" s="18" t="str">
        <f aca="false">IF($A106="","",IF(AND(ABS(F106)&gt;=설정!$B$5,OR(D106=0,ABS(IF(D106=0,0,F106/D106))&gt;=설정!$B$6)),"●",""))</f>
        <v/>
      </c>
      <c r="O106" s="31"/>
      <c r="P106" s="44" t="str">
        <f aca="false">IF($A106="","",IF(N106="","",B106&amp;": 당월 실적 "&amp;TEXT(E106,"#,##0")&amp;설정!$B$7&amp;"으로 예산 대비 "&amp;TEXT(ABS(F106),"#,##0")&amp;설정!$B$7&amp;"("&amp;IF(D106=0,"예산 없음",TEXT(ABS(G106),"0.0%"))&amp;") "&amp;IF(C106="매출",IF(F106&gt;0,"상회","하회"),IF(F106&gt;0,"초과","절감"))&amp;" ["&amp;H106&amp;"]. 원인: "&amp;IF(O106="","___",O106)))</f>
        <v/>
      </c>
      <c r="Q106" s="45" t="str">
        <f aca="false">IF($A106="","",IF(N106="●",ABS(F106)+ROW()/1000000,0))</f>
        <v/>
      </c>
    </row>
    <row r="107" customFormat="false" ht="15" hidden="false" customHeight="false" outlineLevel="0" collapsed="false">
      <c r="A107" s="43" t="str">
        <f aca="false">IF(예산!A107="","",예산!A107)</f>
        <v/>
      </c>
      <c r="B107" s="43" t="str">
        <f aca="false">IF(예산!B107="","",예산!B107)</f>
        <v/>
      </c>
      <c r="C107" s="43" t="str">
        <f aca="false">IF(예산!C107="","",예산!C107)</f>
        <v/>
      </c>
      <c r="D107" s="9" t="str">
        <f aca="false">IF($A107="","",SUMIFS(INDEX(예산!$D$5:$O$204,0,설정!$B$4),예산!$A$5:$A$204,$A107))</f>
        <v/>
      </c>
      <c r="E107" s="9" t="str">
        <f aca="false">IF($A107="","",SUMIFS(INDEX(실적!$D$5:$O$204,0,설정!$B$4),실적!$A$5:$A$204,$A107))</f>
        <v/>
      </c>
      <c r="F107" s="9" t="str">
        <f aca="false">IF($A107="","",E107-D107)</f>
        <v/>
      </c>
      <c r="G107" s="10" t="str">
        <f aca="false">IF($A107="","",IF(D107=0,"n/a",F107/ABS(D107)))</f>
        <v/>
      </c>
      <c r="H107" s="11" t="str">
        <f aca="false">IF($A107="","",IF(F107=0,"-",IF((C107="매출")=(F107&gt;0),"유리","불리")))</f>
        <v/>
      </c>
      <c r="I107" s="9" t="str">
        <f aca="false">IF($A107="","",SUMPRODUCT((예산!$A$5:$A$204=$A107)*(COLUMN(예산!$D$4:$O$4)-COLUMN(예산!$D$4)+1&lt;=설정!$B$4)*예산!$D$5:$O$204))</f>
        <v/>
      </c>
      <c r="J107" s="9" t="str">
        <f aca="false">IF($A107="","",SUMPRODUCT((실적!$A$5:$A$204=$A107)*(COLUMN(실적!$D$4:$O$4)-COLUMN(실적!$D$4)+1&lt;=설정!$B$4)*실적!$D$5:$O$204))</f>
        <v/>
      </c>
      <c r="K107" s="9" t="str">
        <f aca="false">IF($A107="","",J107-I107)</f>
        <v/>
      </c>
      <c r="L107" s="10" t="str">
        <f aca="false">IF($A107="","",IF(I107=0,"n/a",K107/ABS(I107)))</f>
        <v/>
      </c>
      <c r="M107" s="11" t="str">
        <f aca="false">IF($A107="","",IF(K107=0,"-",IF((C107="매출")=(K107&gt;0),"유리","불리")))</f>
        <v/>
      </c>
      <c r="N107" s="18" t="str">
        <f aca="false">IF($A107="","",IF(AND(ABS(F107)&gt;=설정!$B$5,OR(D107=0,ABS(IF(D107=0,0,F107/D107))&gt;=설정!$B$6)),"●",""))</f>
        <v/>
      </c>
      <c r="O107" s="31"/>
      <c r="P107" s="44" t="str">
        <f aca="false">IF($A107="","",IF(N107="","",B107&amp;": 당월 실적 "&amp;TEXT(E107,"#,##0")&amp;설정!$B$7&amp;"으로 예산 대비 "&amp;TEXT(ABS(F107),"#,##0")&amp;설정!$B$7&amp;"("&amp;IF(D107=0,"예산 없음",TEXT(ABS(G107),"0.0%"))&amp;") "&amp;IF(C107="매출",IF(F107&gt;0,"상회","하회"),IF(F107&gt;0,"초과","절감"))&amp;" ["&amp;H107&amp;"]. 원인: "&amp;IF(O107="","___",O107)))</f>
        <v/>
      </c>
      <c r="Q107" s="45" t="str">
        <f aca="false">IF($A107="","",IF(N107="●",ABS(F107)+ROW()/1000000,0))</f>
        <v/>
      </c>
    </row>
    <row r="108" customFormat="false" ht="15" hidden="false" customHeight="false" outlineLevel="0" collapsed="false">
      <c r="A108" s="43" t="str">
        <f aca="false">IF(예산!A108="","",예산!A108)</f>
        <v/>
      </c>
      <c r="B108" s="43" t="str">
        <f aca="false">IF(예산!B108="","",예산!B108)</f>
        <v/>
      </c>
      <c r="C108" s="43" t="str">
        <f aca="false">IF(예산!C108="","",예산!C108)</f>
        <v/>
      </c>
      <c r="D108" s="9" t="str">
        <f aca="false">IF($A108="","",SUMIFS(INDEX(예산!$D$5:$O$204,0,설정!$B$4),예산!$A$5:$A$204,$A108))</f>
        <v/>
      </c>
      <c r="E108" s="9" t="str">
        <f aca="false">IF($A108="","",SUMIFS(INDEX(실적!$D$5:$O$204,0,설정!$B$4),실적!$A$5:$A$204,$A108))</f>
        <v/>
      </c>
      <c r="F108" s="9" t="str">
        <f aca="false">IF($A108="","",E108-D108)</f>
        <v/>
      </c>
      <c r="G108" s="10" t="str">
        <f aca="false">IF($A108="","",IF(D108=0,"n/a",F108/ABS(D108)))</f>
        <v/>
      </c>
      <c r="H108" s="11" t="str">
        <f aca="false">IF($A108="","",IF(F108=0,"-",IF((C108="매출")=(F108&gt;0),"유리","불리")))</f>
        <v/>
      </c>
      <c r="I108" s="9" t="str">
        <f aca="false">IF($A108="","",SUMPRODUCT((예산!$A$5:$A$204=$A108)*(COLUMN(예산!$D$4:$O$4)-COLUMN(예산!$D$4)+1&lt;=설정!$B$4)*예산!$D$5:$O$204))</f>
        <v/>
      </c>
      <c r="J108" s="9" t="str">
        <f aca="false">IF($A108="","",SUMPRODUCT((실적!$A$5:$A$204=$A108)*(COLUMN(실적!$D$4:$O$4)-COLUMN(실적!$D$4)+1&lt;=설정!$B$4)*실적!$D$5:$O$204))</f>
        <v/>
      </c>
      <c r="K108" s="9" t="str">
        <f aca="false">IF($A108="","",J108-I108)</f>
        <v/>
      </c>
      <c r="L108" s="10" t="str">
        <f aca="false">IF($A108="","",IF(I108=0,"n/a",K108/ABS(I108)))</f>
        <v/>
      </c>
      <c r="M108" s="11" t="str">
        <f aca="false">IF($A108="","",IF(K108=0,"-",IF((C108="매출")=(K108&gt;0),"유리","불리")))</f>
        <v/>
      </c>
      <c r="N108" s="18" t="str">
        <f aca="false">IF($A108="","",IF(AND(ABS(F108)&gt;=설정!$B$5,OR(D108=0,ABS(IF(D108=0,0,F108/D108))&gt;=설정!$B$6)),"●",""))</f>
        <v/>
      </c>
      <c r="O108" s="31"/>
      <c r="P108" s="44" t="str">
        <f aca="false">IF($A108="","",IF(N108="","",B108&amp;": 당월 실적 "&amp;TEXT(E108,"#,##0")&amp;설정!$B$7&amp;"으로 예산 대비 "&amp;TEXT(ABS(F108),"#,##0")&amp;설정!$B$7&amp;"("&amp;IF(D108=0,"예산 없음",TEXT(ABS(G108),"0.0%"))&amp;") "&amp;IF(C108="매출",IF(F108&gt;0,"상회","하회"),IF(F108&gt;0,"초과","절감"))&amp;" ["&amp;H108&amp;"]. 원인: "&amp;IF(O108="","___",O108)))</f>
        <v/>
      </c>
      <c r="Q108" s="45" t="str">
        <f aca="false">IF($A108="","",IF(N108="●",ABS(F108)+ROW()/1000000,0))</f>
        <v/>
      </c>
    </row>
    <row r="109" customFormat="false" ht="15" hidden="false" customHeight="false" outlineLevel="0" collapsed="false">
      <c r="A109" s="43" t="str">
        <f aca="false">IF(예산!A109="","",예산!A109)</f>
        <v/>
      </c>
      <c r="B109" s="43" t="str">
        <f aca="false">IF(예산!B109="","",예산!B109)</f>
        <v/>
      </c>
      <c r="C109" s="43" t="str">
        <f aca="false">IF(예산!C109="","",예산!C109)</f>
        <v/>
      </c>
      <c r="D109" s="9" t="str">
        <f aca="false">IF($A109="","",SUMIFS(INDEX(예산!$D$5:$O$204,0,설정!$B$4),예산!$A$5:$A$204,$A109))</f>
        <v/>
      </c>
      <c r="E109" s="9" t="str">
        <f aca="false">IF($A109="","",SUMIFS(INDEX(실적!$D$5:$O$204,0,설정!$B$4),실적!$A$5:$A$204,$A109))</f>
        <v/>
      </c>
      <c r="F109" s="9" t="str">
        <f aca="false">IF($A109="","",E109-D109)</f>
        <v/>
      </c>
      <c r="G109" s="10" t="str">
        <f aca="false">IF($A109="","",IF(D109=0,"n/a",F109/ABS(D109)))</f>
        <v/>
      </c>
      <c r="H109" s="11" t="str">
        <f aca="false">IF($A109="","",IF(F109=0,"-",IF((C109="매출")=(F109&gt;0),"유리","불리")))</f>
        <v/>
      </c>
      <c r="I109" s="9" t="str">
        <f aca="false">IF($A109="","",SUMPRODUCT((예산!$A$5:$A$204=$A109)*(COLUMN(예산!$D$4:$O$4)-COLUMN(예산!$D$4)+1&lt;=설정!$B$4)*예산!$D$5:$O$204))</f>
        <v/>
      </c>
      <c r="J109" s="9" t="str">
        <f aca="false">IF($A109="","",SUMPRODUCT((실적!$A$5:$A$204=$A109)*(COLUMN(실적!$D$4:$O$4)-COLUMN(실적!$D$4)+1&lt;=설정!$B$4)*실적!$D$5:$O$204))</f>
        <v/>
      </c>
      <c r="K109" s="9" t="str">
        <f aca="false">IF($A109="","",J109-I109)</f>
        <v/>
      </c>
      <c r="L109" s="10" t="str">
        <f aca="false">IF($A109="","",IF(I109=0,"n/a",K109/ABS(I109)))</f>
        <v/>
      </c>
      <c r="M109" s="11" t="str">
        <f aca="false">IF($A109="","",IF(K109=0,"-",IF((C109="매출")=(K109&gt;0),"유리","불리")))</f>
        <v/>
      </c>
      <c r="N109" s="18" t="str">
        <f aca="false">IF($A109="","",IF(AND(ABS(F109)&gt;=설정!$B$5,OR(D109=0,ABS(IF(D109=0,0,F109/D109))&gt;=설정!$B$6)),"●",""))</f>
        <v/>
      </c>
      <c r="O109" s="31"/>
      <c r="P109" s="44" t="str">
        <f aca="false">IF($A109="","",IF(N109="","",B109&amp;": 당월 실적 "&amp;TEXT(E109,"#,##0")&amp;설정!$B$7&amp;"으로 예산 대비 "&amp;TEXT(ABS(F109),"#,##0")&amp;설정!$B$7&amp;"("&amp;IF(D109=0,"예산 없음",TEXT(ABS(G109),"0.0%"))&amp;") "&amp;IF(C109="매출",IF(F109&gt;0,"상회","하회"),IF(F109&gt;0,"초과","절감"))&amp;" ["&amp;H109&amp;"]. 원인: "&amp;IF(O109="","___",O109)))</f>
        <v/>
      </c>
      <c r="Q109" s="45" t="str">
        <f aca="false">IF($A109="","",IF(N109="●",ABS(F109)+ROW()/1000000,0))</f>
        <v/>
      </c>
    </row>
    <row r="110" customFormat="false" ht="15" hidden="false" customHeight="false" outlineLevel="0" collapsed="false">
      <c r="A110" s="43" t="str">
        <f aca="false">IF(예산!A110="","",예산!A110)</f>
        <v/>
      </c>
      <c r="B110" s="43" t="str">
        <f aca="false">IF(예산!B110="","",예산!B110)</f>
        <v/>
      </c>
      <c r="C110" s="43" t="str">
        <f aca="false">IF(예산!C110="","",예산!C110)</f>
        <v/>
      </c>
      <c r="D110" s="9" t="str">
        <f aca="false">IF($A110="","",SUMIFS(INDEX(예산!$D$5:$O$204,0,설정!$B$4),예산!$A$5:$A$204,$A110))</f>
        <v/>
      </c>
      <c r="E110" s="9" t="str">
        <f aca="false">IF($A110="","",SUMIFS(INDEX(실적!$D$5:$O$204,0,설정!$B$4),실적!$A$5:$A$204,$A110))</f>
        <v/>
      </c>
      <c r="F110" s="9" t="str">
        <f aca="false">IF($A110="","",E110-D110)</f>
        <v/>
      </c>
      <c r="G110" s="10" t="str">
        <f aca="false">IF($A110="","",IF(D110=0,"n/a",F110/ABS(D110)))</f>
        <v/>
      </c>
      <c r="H110" s="11" t="str">
        <f aca="false">IF($A110="","",IF(F110=0,"-",IF((C110="매출")=(F110&gt;0),"유리","불리")))</f>
        <v/>
      </c>
      <c r="I110" s="9" t="str">
        <f aca="false">IF($A110="","",SUMPRODUCT((예산!$A$5:$A$204=$A110)*(COLUMN(예산!$D$4:$O$4)-COLUMN(예산!$D$4)+1&lt;=설정!$B$4)*예산!$D$5:$O$204))</f>
        <v/>
      </c>
      <c r="J110" s="9" t="str">
        <f aca="false">IF($A110="","",SUMPRODUCT((실적!$A$5:$A$204=$A110)*(COLUMN(실적!$D$4:$O$4)-COLUMN(실적!$D$4)+1&lt;=설정!$B$4)*실적!$D$5:$O$204))</f>
        <v/>
      </c>
      <c r="K110" s="9" t="str">
        <f aca="false">IF($A110="","",J110-I110)</f>
        <v/>
      </c>
      <c r="L110" s="10" t="str">
        <f aca="false">IF($A110="","",IF(I110=0,"n/a",K110/ABS(I110)))</f>
        <v/>
      </c>
      <c r="M110" s="11" t="str">
        <f aca="false">IF($A110="","",IF(K110=0,"-",IF((C110="매출")=(K110&gt;0),"유리","불리")))</f>
        <v/>
      </c>
      <c r="N110" s="18" t="str">
        <f aca="false">IF($A110="","",IF(AND(ABS(F110)&gt;=설정!$B$5,OR(D110=0,ABS(IF(D110=0,0,F110/D110))&gt;=설정!$B$6)),"●",""))</f>
        <v/>
      </c>
      <c r="O110" s="31"/>
      <c r="P110" s="44" t="str">
        <f aca="false">IF($A110="","",IF(N110="","",B110&amp;": 당월 실적 "&amp;TEXT(E110,"#,##0")&amp;설정!$B$7&amp;"으로 예산 대비 "&amp;TEXT(ABS(F110),"#,##0")&amp;설정!$B$7&amp;"("&amp;IF(D110=0,"예산 없음",TEXT(ABS(G110),"0.0%"))&amp;") "&amp;IF(C110="매출",IF(F110&gt;0,"상회","하회"),IF(F110&gt;0,"초과","절감"))&amp;" ["&amp;H110&amp;"]. 원인: "&amp;IF(O110="","___",O110)))</f>
        <v/>
      </c>
      <c r="Q110" s="45" t="str">
        <f aca="false">IF($A110="","",IF(N110="●",ABS(F110)+ROW()/1000000,0))</f>
        <v/>
      </c>
    </row>
    <row r="111" customFormat="false" ht="15" hidden="false" customHeight="false" outlineLevel="0" collapsed="false">
      <c r="A111" s="43" t="str">
        <f aca="false">IF(예산!A111="","",예산!A111)</f>
        <v/>
      </c>
      <c r="B111" s="43" t="str">
        <f aca="false">IF(예산!B111="","",예산!B111)</f>
        <v/>
      </c>
      <c r="C111" s="43" t="str">
        <f aca="false">IF(예산!C111="","",예산!C111)</f>
        <v/>
      </c>
      <c r="D111" s="9" t="str">
        <f aca="false">IF($A111="","",SUMIFS(INDEX(예산!$D$5:$O$204,0,설정!$B$4),예산!$A$5:$A$204,$A111))</f>
        <v/>
      </c>
      <c r="E111" s="9" t="str">
        <f aca="false">IF($A111="","",SUMIFS(INDEX(실적!$D$5:$O$204,0,설정!$B$4),실적!$A$5:$A$204,$A111))</f>
        <v/>
      </c>
      <c r="F111" s="9" t="str">
        <f aca="false">IF($A111="","",E111-D111)</f>
        <v/>
      </c>
      <c r="G111" s="10" t="str">
        <f aca="false">IF($A111="","",IF(D111=0,"n/a",F111/ABS(D111)))</f>
        <v/>
      </c>
      <c r="H111" s="11" t="str">
        <f aca="false">IF($A111="","",IF(F111=0,"-",IF((C111="매출")=(F111&gt;0),"유리","불리")))</f>
        <v/>
      </c>
      <c r="I111" s="9" t="str">
        <f aca="false">IF($A111="","",SUMPRODUCT((예산!$A$5:$A$204=$A111)*(COLUMN(예산!$D$4:$O$4)-COLUMN(예산!$D$4)+1&lt;=설정!$B$4)*예산!$D$5:$O$204))</f>
        <v/>
      </c>
      <c r="J111" s="9" t="str">
        <f aca="false">IF($A111="","",SUMPRODUCT((실적!$A$5:$A$204=$A111)*(COLUMN(실적!$D$4:$O$4)-COLUMN(실적!$D$4)+1&lt;=설정!$B$4)*실적!$D$5:$O$204))</f>
        <v/>
      </c>
      <c r="K111" s="9" t="str">
        <f aca="false">IF($A111="","",J111-I111)</f>
        <v/>
      </c>
      <c r="L111" s="10" t="str">
        <f aca="false">IF($A111="","",IF(I111=0,"n/a",K111/ABS(I111)))</f>
        <v/>
      </c>
      <c r="M111" s="11" t="str">
        <f aca="false">IF($A111="","",IF(K111=0,"-",IF((C111="매출")=(K111&gt;0),"유리","불리")))</f>
        <v/>
      </c>
      <c r="N111" s="18" t="str">
        <f aca="false">IF($A111="","",IF(AND(ABS(F111)&gt;=설정!$B$5,OR(D111=0,ABS(IF(D111=0,0,F111/D111))&gt;=설정!$B$6)),"●",""))</f>
        <v/>
      </c>
      <c r="O111" s="31"/>
      <c r="P111" s="44" t="str">
        <f aca="false">IF($A111="","",IF(N111="","",B111&amp;": 당월 실적 "&amp;TEXT(E111,"#,##0")&amp;설정!$B$7&amp;"으로 예산 대비 "&amp;TEXT(ABS(F111),"#,##0")&amp;설정!$B$7&amp;"("&amp;IF(D111=0,"예산 없음",TEXT(ABS(G111),"0.0%"))&amp;") "&amp;IF(C111="매출",IF(F111&gt;0,"상회","하회"),IF(F111&gt;0,"초과","절감"))&amp;" ["&amp;H111&amp;"]. 원인: "&amp;IF(O111="","___",O111)))</f>
        <v/>
      </c>
      <c r="Q111" s="45" t="str">
        <f aca="false">IF($A111="","",IF(N111="●",ABS(F111)+ROW()/1000000,0))</f>
        <v/>
      </c>
    </row>
    <row r="112" customFormat="false" ht="15" hidden="false" customHeight="false" outlineLevel="0" collapsed="false">
      <c r="A112" s="43" t="str">
        <f aca="false">IF(예산!A112="","",예산!A112)</f>
        <v/>
      </c>
      <c r="B112" s="43" t="str">
        <f aca="false">IF(예산!B112="","",예산!B112)</f>
        <v/>
      </c>
      <c r="C112" s="43" t="str">
        <f aca="false">IF(예산!C112="","",예산!C112)</f>
        <v/>
      </c>
      <c r="D112" s="9" t="str">
        <f aca="false">IF($A112="","",SUMIFS(INDEX(예산!$D$5:$O$204,0,설정!$B$4),예산!$A$5:$A$204,$A112))</f>
        <v/>
      </c>
      <c r="E112" s="9" t="str">
        <f aca="false">IF($A112="","",SUMIFS(INDEX(실적!$D$5:$O$204,0,설정!$B$4),실적!$A$5:$A$204,$A112))</f>
        <v/>
      </c>
      <c r="F112" s="9" t="str">
        <f aca="false">IF($A112="","",E112-D112)</f>
        <v/>
      </c>
      <c r="G112" s="10" t="str">
        <f aca="false">IF($A112="","",IF(D112=0,"n/a",F112/ABS(D112)))</f>
        <v/>
      </c>
      <c r="H112" s="11" t="str">
        <f aca="false">IF($A112="","",IF(F112=0,"-",IF((C112="매출")=(F112&gt;0),"유리","불리")))</f>
        <v/>
      </c>
      <c r="I112" s="9" t="str">
        <f aca="false">IF($A112="","",SUMPRODUCT((예산!$A$5:$A$204=$A112)*(COLUMN(예산!$D$4:$O$4)-COLUMN(예산!$D$4)+1&lt;=설정!$B$4)*예산!$D$5:$O$204))</f>
        <v/>
      </c>
      <c r="J112" s="9" t="str">
        <f aca="false">IF($A112="","",SUMPRODUCT((실적!$A$5:$A$204=$A112)*(COLUMN(실적!$D$4:$O$4)-COLUMN(실적!$D$4)+1&lt;=설정!$B$4)*실적!$D$5:$O$204))</f>
        <v/>
      </c>
      <c r="K112" s="9" t="str">
        <f aca="false">IF($A112="","",J112-I112)</f>
        <v/>
      </c>
      <c r="L112" s="10" t="str">
        <f aca="false">IF($A112="","",IF(I112=0,"n/a",K112/ABS(I112)))</f>
        <v/>
      </c>
      <c r="M112" s="11" t="str">
        <f aca="false">IF($A112="","",IF(K112=0,"-",IF((C112="매출")=(K112&gt;0),"유리","불리")))</f>
        <v/>
      </c>
      <c r="N112" s="18" t="str">
        <f aca="false">IF($A112="","",IF(AND(ABS(F112)&gt;=설정!$B$5,OR(D112=0,ABS(IF(D112=0,0,F112/D112))&gt;=설정!$B$6)),"●",""))</f>
        <v/>
      </c>
      <c r="O112" s="31"/>
      <c r="P112" s="44" t="str">
        <f aca="false">IF($A112="","",IF(N112="","",B112&amp;": 당월 실적 "&amp;TEXT(E112,"#,##0")&amp;설정!$B$7&amp;"으로 예산 대비 "&amp;TEXT(ABS(F112),"#,##0")&amp;설정!$B$7&amp;"("&amp;IF(D112=0,"예산 없음",TEXT(ABS(G112),"0.0%"))&amp;") "&amp;IF(C112="매출",IF(F112&gt;0,"상회","하회"),IF(F112&gt;0,"초과","절감"))&amp;" ["&amp;H112&amp;"]. 원인: "&amp;IF(O112="","___",O112)))</f>
        <v/>
      </c>
      <c r="Q112" s="45" t="str">
        <f aca="false">IF($A112="","",IF(N112="●",ABS(F112)+ROW()/1000000,0))</f>
        <v/>
      </c>
    </row>
    <row r="113" customFormat="false" ht="15" hidden="false" customHeight="false" outlineLevel="0" collapsed="false">
      <c r="A113" s="43" t="str">
        <f aca="false">IF(예산!A113="","",예산!A113)</f>
        <v/>
      </c>
      <c r="B113" s="43" t="str">
        <f aca="false">IF(예산!B113="","",예산!B113)</f>
        <v/>
      </c>
      <c r="C113" s="43" t="str">
        <f aca="false">IF(예산!C113="","",예산!C113)</f>
        <v/>
      </c>
      <c r="D113" s="9" t="str">
        <f aca="false">IF($A113="","",SUMIFS(INDEX(예산!$D$5:$O$204,0,설정!$B$4),예산!$A$5:$A$204,$A113))</f>
        <v/>
      </c>
      <c r="E113" s="9" t="str">
        <f aca="false">IF($A113="","",SUMIFS(INDEX(실적!$D$5:$O$204,0,설정!$B$4),실적!$A$5:$A$204,$A113))</f>
        <v/>
      </c>
      <c r="F113" s="9" t="str">
        <f aca="false">IF($A113="","",E113-D113)</f>
        <v/>
      </c>
      <c r="G113" s="10" t="str">
        <f aca="false">IF($A113="","",IF(D113=0,"n/a",F113/ABS(D113)))</f>
        <v/>
      </c>
      <c r="H113" s="11" t="str">
        <f aca="false">IF($A113="","",IF(F113=0,"-",IF((C113="매출")=(F113&gt;0),"유리","불리")))</f>
        <v/>
      </c>
      <c r="I113" s="9" t="str">
        <f aca="false">IF($A113="","",SUMPRODUCT((예산!$A$5:$A$204=$A113)*(COLUMN(예산!$D$4:$O$4)-COLUMN(예산!$D$4)+1&lt;=설정!$B$4)*예산!$D$5:$O$204))</f>
        <v/>
      </c>
      <c r="J113" s="9" t="str">
        <f aca="false">IF($A113="","",SUMPRODUCT((실적!$A$5:$A$204=$A113)*(COLUMN(실적!$D$4:$O$4)-COLUMN(실적!$D$4)+1&lt;=설정!$B$4)*실적!$D$5:$O$204))</f>
        <v/>
      </c>
      <c r="K113" s="9" t="str">
        <f aca="false">IF($A113="","",J113-I113)</f>
        <v/>
      </c>
      <c r="L113" s="10" t="str">
        <f aca="false">IF($A113="","",IF(I113=0,"n/a",K113/ABS(I113)))</f>
        <v/>
      </c>
      <c r="M113" s="11" t="str">
        <f aca="false">IF($A113="","",IF(K113=0,"-",IF((C113="매출")=(K113&gt;0),"유리","불리")))</f>
        <v/>
      </c>
      <c r="N113" s="18" t="str">
        <f aca="false">IF($A113="","",IF(AND(ABS(F113)&gt;=설정!$B$5,OR(D113=0,ABS(IF(D113=0,0,F113/D113))&gt;=설정!$B$6)),"●",""))</f>
        <v/>
      </c>
      <c r="O113" s="31"/>
      <c r="P113" s="44" t="str">
        <f aca="false">IF($A113="","",IF(N113="","",B113&amp;": 당월 실적 "&amp;TEXT(E113,"#,##0")&amp;설정!$B$7&amp;"으로 예산 대비 "&amp;TEXT(ABS(F113),"#,##0")&amp;설정!$B$7&amp;"("&amp;IF(D113=0,"예산 없음",TEXT(ABS(G113),"0.0%"))&amp;") "&amp;IF(C113="매출",IF(F113&gt;0,"상회","하회"),IF(F113&gt;0,"초과","절감"))&amp;" ["&amp;H113&amp;"]. 원인: "&amp;IF(O113="","___",O113)))</f>
        <v/>
      </c>
      <c r="Q113" s="45" t="str">
        <f aca="false">IF($A113="","",IF(N113="●",ABS(F113)+ROW()/1000000,0))</f>
        <v/>
      </c>
    </row>
    <row r="114" customFormat="false" ht="15" hidden="false" customHeight="false" outlineLevel="0" collapsed="false">
      <c r="A114" s="43" t="str">
        <f aca="false">IF(예산!A114="","",예산!A114)</f>
        <v/>
      </c>
      <c r="B114" s="43" t="str">
        <f aca="false">IF(예산!B114="","",예산!B114)</f>
        <v/>
      </c>
      <c r="C114" s="43" t="str">
        <f aca="false">IF(예산!C114="","",예산!C114)</f>
        <v/>
      </c>
      <c r="D114" s="9" t="str">
        <f aca="false">IF($A114="","",SUMIFS(INDEX(예산!$D$5:$O$204,0,설정!$B$4),예산!$A$5:$A$204,$A114))</f>
        <v/>
      </c>
      <c r="E114" s="9" t="str">
        <f aca="false">IF($A114="","",SUMIFS(INDEX(실적!$D$5:$O$204,0,설정!$B$4),실적!$A$5:$A$204,$A114))</f>
        <v/>
      </c>
      <c r="F114" s="9" t="str">
        <f aca="false">IF($A114="","",E114-D114)</f>
        <v/>
      </c>
      <c r="G114" s="10" t="str">
        <f aca="false">IF($A114="","",IF(D114=0,"n/a",F114/ABS(D114)))</f>
        <v/>
      </c>
      <c r="H114" s="11" t="str">
        <f aca="false">IF($A114="","",IF(F114=0,"-",IF((C114="매출")=(F114&gt;0),"유리","불리")))</f>
        <v/>
      </c>
      <c r="I114" s="9" t="str">
        <f aca="false">IF($A114="","",SUMPRODUCT((예산!$A$5:$A$204=$A114)*(COLUMN(예산!$D$4:$O$4)-COLUMN(예산!$D$4)+1&lt;=설정!$B$4)*예산!$D$5:$O$204))</f>
        <v/>
      </c>
      <c r="J114" s="9" t="str">
        <f aca="false">IF($A114="","",SUMPRODUCT((실적!$A$5:$A$204=$A114)*(COLUMN(실적!$D$4:$O$4)-COLUMN(실적!$D$4)+1&lt;=설정!$B$4)*실적!$D$5:$O$204))</f>
        <v/>
      </c>
      <c r="K114" s="9" t="str">
        <f aca="false">IF($A114="","",J114-I114)</f>
        <v/>
      </c>
      <c r="L114" s="10" t="str">
        <f aca="false">IF($A114="","",IF(I114=0,"n/a",K114/ABS(I114)))</f>
        <v/>
      </c>
      <c r="M114" s="11" t="str">
        <f aca="false">IF($A114="","",IF(K114=0,"-",IF((C114="매출")=(K114&gt;0),"유리","불리")))</f>
        <v/>
      </c>
      <c r="N114" s="18" t="str">
        <f aca="false">IF($A114="","",IF(AND(ABS(F114)&gt;=설정!$B$5,OR(D114=0,ABS(IF(D114=0,0,F114/D114))&gt;=설정!$B$6)),"●",""))</f>
        <v/>
      </c>
      <c r="O114" s="31"/>
      <c r="P114" s="44" t="str">
        <f aca="false">IF($A114="","",IF(N114="","",B114&amp;": 당월 실적 "&amp;TEXT(E114,"#,##0")&amp;설정!$B$7&amp;"으로 예산 대비 "&amp;TEXT(ABS(F114),"#,##0")&amp;설정!$B$7&amp;"("&amp;IF(D114=0,"예산 없음",TEXT(ABS(G114),"0.0%"))&amp;") "&amp;IF(C114="매출",IF(F114&gt;0,"상회","하회"),IF(F114&gt;0,"초과","절감"))&amp;" ["&amp;H114&amp;"]. 원인: "&amp;IF(O114="","___",O114)))</f>
        <v/>
      </c>
      <c r="Q114" s="45" t="str">
        <f aca="false">IF($A114="","",IF(N114="●",ABS(F114)+ROW()/1000000,0))</f>
        <v/>
      </c>
    </row>
    <row r="115" customFormat="false" ht="15" hidden="false" customHeight="false" outlineLevel="0" collapsed="false">
      <c r="A115" s="43" t="str">
        <f aca="false">IF(예산!A115="","",예산!A115)</f>
        <v/>
      </c>
      <c r="B115" s="43" t="str">
        <f aca="false">IF(예산!B115="","",예산!B115)</f>
        <v/>
      </c>
      <c r="C115" s="43" t="str">
        <f aca="false">IF(예산!C115="","",예산!C115)</f>
        <v/>
      </c>
      <c r="D115" s="9" t="str">
        <f aca="false">IF($A115="","",SUMIFS(INDEX(예산!$D$5:$O$204,0,설정!$B$4),예산!$A$5:$A$204,$A115))</f>
        <v/>
      </c>
      <c r="E115" s="9" t="str">
        <f aca="false">IF($A115="","",SUMIFS(INDEX(실적!$D$5:$O$204,0,설정!$B$4),실적!$A$5:$A$204,$A115))</f>
        <v/>
      </c>
      <c r="F115" s="9" t="str">
        <f aca="false">IF($A115="","",E115-D115)</f>
        <v/>
      </c>
      <c r="G115" s="10" t="str">
        <f aca="false">IF($A115="","",IF(D115=0,"n/a",F115/ABS(D115)))</f>
        <v/>
      </c>
      <c r="H115" s="11" t="str">
        <f aca="false">IF($A115="","",IF(F115=0,"-",IF((C115="매출")=(F115&gt;0),"유리","불리")))</f>
        <v/>
      </c>
      <c r="I115" s="9" t="str">
        <f aca="false">IF($A115="","",SUMPRODUCT((예산!$A$5:$A$204=$A115)*(COLUMN(예산!$D$4:$O$4)-COLUMN(예산!$D$4)+1&lt;=설정!$B$4)*예산!$D$5:$O$204))</f>
        <v/>
      </c>
      <c r="J115" s="9" t="str">
        <f aca="false">IF($A115="","",SUMPRODUCT((실적!$A$5:$A$204=$A115)*(COLUMN(실적!$D$4:$O$4)-COLUMN(실적!$D$4)+1&lt;=설정!$B$4)*실적!$D$5:$O$204))</f>
        <v/>
      </c>
      <c r="K115" s="9" t="str">
        <f aca="false">IF($A115="","",J115-I115)</f>
        <v/>
      </c>
      <c r="L115" s="10" t="str">
        <f aca="false">IF($A115="","",IF(I115=0,"n/a",K115/ABS(I115)))</f>
        <v/>
      </c>
      <c r="M115" s="11" t="str">
        <f aca="false">IF($A115="","",IF(K115=0,"-",IF((C115="매출")=(K115&gt;0),"유리","불리")))</f>
        <v/>
      </c>
      <c r="N115" s="18" t="str">
        <f aca="false">IF($A115="","",IF(AND(ABS(F115)&gt;=설정!$B$5,OR(D115=0,ABS(IF(D115=0,0,F115/D115))&gt;=설정!$B$6)),"●",""))</f>
        <v/>
      </c>
      <c r="O115" s="31"/>
      <c r="P115" s="44" t="str">
        <f aca="false">IF($A115="","",IF(N115="","",B115&amp;": 당월 실적 "&amp;TEXT(E115,"#,##0")&amp;설정!$B$7&amp;"으로 예산 대비 "&amp;TEXT(ABS(F115),"#,##0")&amp;설정!$B$7&amp;"("&amp;IF(D115=0,"예산 없음",TEXT(ABS(G115),"0.0%"))&amp;") "&amp;IF(C115="매출",IF(F115&gt;0,"상회","하회"),IF(F115&gt;0,"초과","절감"))&amp;" ["&amp;H115&amp;"]. 원인: "&amp;IF(O115="","___",O115)))</f>
        <v/>
      </c>
      <c r="Q115" s="45" t="str">
        <f aca="false">IF($A115="","",IF(N115="●",ABS(F115)+ROW()/1000000,0))</f>
        <v/>
      </c>
    </row>
    <row r="116" customFormat="false" ht="15" hidden="false" customHeight="false" outlineLevel="0" collapsed="false">
      <c r="A116" s="43" t="str">
        <f aca="false">IF(예산!A116="","",예산!A116)</f>
        <v/>
      </c>
      <c r="B116" s="43" t="str">
        <f aca="false">IF(예산!B116="","",예산!B116)</f>
        <v/>
      </c>
      <c r="C116" s="43" t="str">
        <f aca="false">IF(예산!C116="","",예산!C116)</f>
        <v/>
      </c>
      <c r="D116" s="9" t="str">
        <f aca="false">IF($A116="","",SUMIFS(INDEX(예산!$D$5:$O$204,0,설정!$B$4),예산!$A$5:$A$204,$A116))</f>
        <v/>
      </c>
      <c r="E116" s="9" t="str">
        <f aca="false">IF($A116="","",SUMIFS(INDEX(실적!$D$5:$O$204,0,설정!$B$4),실적!$A$5:$A$204,$A116))</f>
        <v/>
      </c>
      <c r="F116" s="9" t="str">
        <f aca="false">IF($A116="","",E116-D116)</f>
        <v/>
      </c>
      <c r="G116" s="10" t="str">
        <f aca="false">IF($A116="","",IF(D116=0,"n/a",F116/ABS(D116)))</f>
        <v/>
      </c>
      <c r="H116" s="11" t="str">
        <f aca="false">IF($A116="","",IF(F116=0,"-",IF((C116="매출")=(F116&gt;0),"유리","불리")))</f>
        <v/>
      </c>
      <c r="I116" s="9" t="str">
        <f aca="false">IF($A116="","",SUMPRODUCT((예산!$A$5:$A$204=$A116)*(COLUMN(예산!$D$4:$O$4)-COLUMN(예산!$D$4)+1&lt;=설정!$B$4)*예산!$D$5:$O$204))</f>
        <v/>
      </c>
      <c r="J116" s="9" t="str">
        <f aca="false">IF($A116="","",SUMPRODUCT((실적!$A$5:$A$204=$A116)*(COLUMN(실적!$D$4:$O$4)-COLUMN(실적!$D$4)+1&lt;=설정!$B$4)*실적!$D$5:$O$204))</f>
        <v/>
      </c>
      <c r="K116" s="9" t="str">
        <f aca="false">IF($A116="","",J116-I116)</f>
        <v/>
      </c>
      <c r="L116" s="10" t="str">
        <f aca="false">IF($A116="","",IF(I116=0,"n/a",K116/ABS(I116)))</f>
        <v/>
      </c>
      <c r="M116" s="11" t="str">
        <f aca="false">IF($A116="","",IF(K116=0,"-",IF((C116="매출")=(K116&gt;0),"유리","불리")))</f>
        <v/>
      </c>
      <c r="N116" s="18" t="str">
        <f aca="false">IF($A116="","",IF(AND(ABS(F116)&gt;=설정!$B$5,OR(D116=0,ABS(IF(D116=0,0,F116/D116))&gt;=설정!$B$6)),"●",""))</f>
        <v/>
      </c>
      <c r="O116" s="31"/>
      <c r="P116" s="44" t="str">
        <f aca="false">IF($A116="","",IF(N116="","",B116&amp;": 당월 실적 "&amp;TEXT(E116,"#,##0")&amp;설정!$B$7&amp;"으로 예산 대비 "&amp;TEXT(ABS(F116),"#,##0")&amp;설정!$B$7&amp;"("&amp;IF(D116=0,"예산 없음",TEXT(ABS(G116),"0.0%"))&amp;") "&amp;IF(C116="매출",IF(F116&gt;0,"상회","하회"),IF(F116&gt;0,"초과","절감"))&amp;" ["&amp;H116&amp;"]. 원인: "&amp;IF(O116="","___",O116)))</f>
        <v/>
      </c>
      <c r="Q116" s="45" t="str">
        <f aca="false">IF($A116="","",IF(N116="●",ABS(F116)+ROW()/1000000,0))</f>
        <v/>
      </c>
    </row>
    <row r="117" customFormat="false" ht="15" hidden="false" customHeight="false" outlineLevel="0" collapsed="false">
      <c r="A117" s="43" t="str">
        <f aca="false">IF(예산!A117="","",예산!A117)</f>
        <v/>
      </c>
      <c r="B117" s="43" t="str">
        <f aca="false">IF(예산!B117="","",예산!B117)</f>
        <v/>
      </c>
      <c r="C117" s="43" t="str">
        <f aca="false">IF(예산!C117="","",예산!C117)</f>
        <v/>
      </c>
      <c r="D117" s="9" t="str">
        <f aca="false">IF($A117="","",SUMIFS(INDEX(예산!$D$5:$O$204,0,설정!$B$4),예산!$A$5:$A$204,$A117))</f>
        <v/>
      </c>
      <c r="E117" s="9" t="str">
        <f aca="false">IF($A117="","",SUMIFS(INDEX(실적!$D$5:$O$204,0,설정!$B$4),실적!$A$5:$A$204,$A117))</f>
        <v/>
      </c>
      <c r="F117" s="9" t="str">
        <f aca="false">IF($A117="","",E117-D117)</f>
        <v/>
      </c>
      <c r="G117" s="10" t="str">
        <f aca="false">IF($A117="","",IF(D117=0,"n/a",F117/ABS(D117)))</f>
        <v/>
      </c>
      <c r="H117" s="11" t="str">
        <f aca="false">IF($A117="","",IF(F117=0,"-",IF((C117="매출")=(F117&gt;0),"유리","불리")))</f>
        <v/>
      </c>
      <c r="I117" s="9" t="str">
        <f aca="false">IF($A117="","",SUMPRODUCT((예산!$A$5:$A$204=$A117)*(COLUMN(예산!$D$4:$O$4)-COLUMN(예산!$D$4)+1&lt;=설정!$B$4)*예산!$D$5:$O$204))</f>
        <v/>
      </c>
      <c r="J117" s="9" t="str">
        <f aca="false">IF($A117="","",SUMPRODUCT((실적!$A$5:$A$204=$A117)*(COLUMN(실적!$D$4:$O$4)-COLUMN(실적!$D$4)+1&lt;=설정!$B$4)*실적!$D$5:$O$204))</f>
        <v/>
      </c>
      <c r="K117" s="9" t="str">
        <f aca="false">IF($A117="","",J117-I117)</f>
        <v/>
      </c>
      <c r="L117" s="10" t="str">
        <f aca="false">IF($A117="","",IF(I117=0,"n/a",K117/ABS(I117)))</f>
        <v/>
      </c>
      <c r="M117" s="11" t="str">
        <f aca="false">IF($A117="","",IF(K117=0,"-",IF((C117="매출")=(K117&gt;0),"유리","불리")))</f>
        <v/>
      </c>
      <c r="N117" s="18" t="str">
        <f aca="false">IF($A117="","",IF(AND(ABS(F117)&gt;=설정!$B$5,OR(D117=0,ABS(IF(D117=0,0,F117/D117))&gt;=설정!$B$6)),"●",""))</f>
        <v/>
      </c>
      <c r="O117" s="31"/>
      <c r="P117" s="44" t="str">
        <f aca="false">IF($A117="","",IF(N117="","",B117&amp;": 당월 실적 "&amp;TEXT(E117,"#,##0")&amp;설정!$B$7&amp;"으로 예산 대비 "&amp;TEXT(ABS(F117),"#,##0")&amp;설정!$B$7&amp;"("&amp;IF(D117=0,"예산 없음",TEXT(ABS(G117),"0.0%"))&amp;") "&amp;IF(C117="매출",IF(F117&gt;0,"상회","하회"),IF(F117&gt;0,"초과","절감"))&amp;" ["&amp;H117&amp;"]. 원인: "&amp;IF(O117="","___",O117)))</f>
        <v/>
      </c>
      <c r="Q117" s="45" t="str">
        <f aca="false">IF($A117="","",IF(N117="●",ABS(F117)+ROW()/1000000,0))</f>
        <v/>
      </c>
    </row>
    <row r="118" customFormat="false" ht="15" hidden="false" customHeight="false" outlineLevel="0" collapsed="false">
      <c r="A118" s="43" t="str">
        <f aca="false">IF(예산!A118="","",예산!A118)</f>
        <v/>
      </c>
      <c r="B118" s="43" t="str">
        <f aca="false">IF(예산!B118="","",예산!B118)</f>
        <v/>
      </c>
      <c r="C118" s="43" t="str">
        <f aca="false">IF(예산!C118="","",예산!C118)</f>
        <v/>
      </c>
      <c r="D118" s="9" t="str">
        <f aca="false">IF($A118="","",SUMIFS(INDEX(예산!$D$5:$O$204,0,설정!$B$4),예산!$A$5:$A$204,$A118))</f>
        <v/>
      </c>
      <c r="E118" s="9" t="str">
        <f aca="false">IF($A118="","",SUMIFS(INDEX(실적!$D$5:$O$204,0,설정!$B$4),실적!$A$5:$A$204,$A118))</f>
        <v/>
      </c>
      <c r="F118" s="9" t="str">
        <f aca="false">IF($A118="","",E118-D118)</f>
        <v/>
      </c>
      <c r="G118" s="10" t="str">
        <f aca="false">IF($A118="","",IF(D118=0,"n/a",F118/ABS(D118)))</f>
        <v/>
      </c>
      <c r="H118" s="11" t="str">
        <f aca="false">IF($A118="","",IF(F118=0,"-",IF((C118="매출")=(F118&gt;0),"유리","불리")))</f>
        <v/>
      </c>
      <c r="I118" s="9" t="str">
        <f aca="false">IF($A118="","",SUMPRODUCT((예산!$A$5:$A$204=$A118)*(COLUMN(예산!$D$4:$O$4)-COLUMN(예산!$D$4)+1&lt;=설정!$B$4)*예산!$D$5:$O$204))</f>
        <v/>
      </c>
      <c r="J118" s="9" t="str">
        <f aca="false">IF($A118="","",SUMPRODUCT((실적!$A$5:$A$204=$A118)*(COLUMN(실적!$D$4:$O$4)-COLUMN(실적!$D$4)+1&lt;=설정!$B$4)*실적!$D$5:$O$204))</f>
        <v/>
      </c>
      <c r="K118" s="9" t="str">
        <f aca="false">IF($A118="","",J118-I118)</f>
        <v/>
      </c>
      <c r="L118" s="10" t="str">
        <f aca="false">IF($A118="","",IF(I118=0,"n/a",K118/ABS(I118)))</f>
        <v/>
      </c>
      <c r="M118" s="11" t="str">
        <f aca="false">IF($A118="","",IF(K118=0,"-",IF((C118="매출")=(K118&gt;0),"유리","불리")))</f>
        <v/>
      </c>
      <c r="N118" s="18" t="str">
        <f aca="false">IF($A118="","",IF(AND(ABS(F118)&gt;=설정!$B$5,OR(D118=0,ABS(IF(D118=0,0,F118/D118))&gt;=설정!$B$6)),"●",""))</f>
        <v/>
      </c>
      <c r="O118" s="31"/>
      <c r="P118" s="44" t="str">
        <f aca="false">IF($A118="","",IF(N118="","",B118&amp;": 당월 실적 "&amp;TEXT(E118,"#,##0")&amp;설정!$B$7&amp;"으로 예산 대비 "&amp;TEXT(ABS(F118),"#,##0")&amp;설정!$B$7&amp;"("&amp;IF(D118=0,"예산 없음",TEXT(ABS(G118),"0.0%"))&amp;") "&amp;IF(C118="매출",IF(F118&gt;0,"상회","하회"),IF(F118&gt;0,"초과","절감"))&amp;" ["&amp;H118&amp;"]. 원인: "&amp;IF(O118="","___",O118)))</f>
        <v/>
      </c>
      <c r="Q118" s="45" t="str">
        <f aca="false">IF($A118="","",IF(N118="●",ABS(F118)+ROW()/1000000,0))</f>
        <v/>
      </c>
    </row>
    <row r="119" customFormat="false" ht="15" hidden="false" customHeight="false" outlineLevel="0" collapsed="false">
      <c r="A119" s="43" t="str">
        <f aca="false">IF(예산!A119="","",예산!A119)</f>
        <v/>
      </c>
      <c r="B119" s="43" t="str">
        <f aca="false">IF(예산!B119="","",예산!B119)</f>
        <v/>
      </c>
      <c r="C119" s="43" t="str">
        <f aca="false">IF(예산!C119="","",예산!C119)</f>
        <v/>
      </c>
      <c r="D119" s="9" t="str">
        <f aca="false">IF($A119="","",SUMIFS(INDEX(예산!$D$5:$O$204,0,설정!$B$4),예산!$A$5:$A$204,$A119))</f>
        <v/>
      </c>
      <c r="E119" s="9" t="str">
        <f aca="false">IF($A119="","",SUMIFS(INDEX(실적!$D$5:$O$204,0,설정!$B$4),실적!$A$5:$A$204,$A119))</f>
        <v/>
      </c>
      <c r="F119" s="9" t="str">
        <f aca="false">IF($A119="","",E119-D119)</f>
        <v/>
      </c>
      <c r="G119" s="10" t="str">
        <f aca="false">IF($A119="","",IF(D119=0,"n/a",F119/ABS(D119)))</f>
        <v/>
      </c>
      <c r="H119" s="11" t="str">
        <f aca="false">IF($A119="","",IF(F119=0,"-",IF((C119="매출")=(F119&gt;0),"유리","불리")))</f>
        <v/>
      </c>
      <c r="I119" s="9" t="str">
        <f aca="false">IF($A119="","",SUMPRODUCT((예산!$A$5:$A$204=$A119)*(COLUMN(예산!$D$4:$O$4)-COLUMN(예산!$D$4)+1&lt;=설정!$B$4)*예산!$D$5:$O$204))</f>
        <v/>
      </c>
      <c r="J119" s="9" t="str">
        <f aca="false">IF($A119="","",SUMPRODUCT((실적!$A$5:$A$204=$A119)*(COLUMN(실적!$D$4:$O$4)-COLUMN(실적!$D$4)+1&lt;=설정!$B$4)*실적!$D$5:$O$204))</f>
        <v/>
      </c>
      <c r="K119" s="9" t="str">
        <f aca="false">IF($A119="","",J119-I119)</f>
        <v/>
      </c>
      <c r="L119" s="10" t="str">
        <f aca="false">IF($A119="","",IF(I119=0,"n/a",K119/ABS(I119)))</f>
        <v/>
      </c>
      <c r="M119" s="11" t="str">
        <f aca="false">IF($A119="","",IF(K119=0,"-",IF((C119="매출")=(K119&gt;0),"유리","불리")))</f>
        <v/>
      </c>
      <c r="N119" s="18" t="str">
        <f aca="false">IF($A119="","",IF(AND(ABS(F119)&gt;=설정!$B$5,OR(D119=0,ABS(IF(D119=0,0,F119/D119))&gt;=설정!$B$6)),"●",""))</f>
        <v/>
      </c>
      <c r="O119" s="31"/>
      <c r="P119" s="44" t="str">
        <f aca="false">IF($A119="","",IF(N119="","",B119&amp;": 당월 실적 "&amp;TEXT(E119,"#,##0")&amp;설정!$B$7&amp;"으로 예산 대비 "&amp;TEXT(ABS(F119),"#,##0")&amp;설정!$B$7&amp;"("&amp;IF(D119=0,"예산 없음",TEXT(ABS(G119),"0.0%"))&amp;") "&amp;IF(C119="매출",IF(F119&gt;0,"상회","하회"),IF(F119&gt;0,"초과","절감"))&amp;" ["&amp;H119&amp;"]. 원인: "&amp;IF(O119="","___",O119)))</f>
        <v/>
      </c>
      <c r="Q119" s="45" t="str">
        <f aca="false">IF($A119="","",IF(N119="●",ABS(F119)+ROW()/1000000,0))</f>
        <v/>
      </c>
    </row>
    <row r="120" customFormat="false" ht="15" hidden="false" customHeight="false" outlineLevel="0" collapsed="false">
      <c r="A120" s="43" t="str">
        <f aca="false">IF(예산!A120="","",예산!A120)</f>
        <v/>
      </c>
      <c r="B120" s="43" t="str">
        <f aca="false">IF(예산!B120="","",예산!B120)</f>
        <v/>
      </c>
      <c r="C120" s="43" t="str">
        <f aca="false">IF(예산!C120="","",예산!C120)</f>
        <v/>
      </c>
      <c r="D120" s="9" t="str">
        <f aca="false">IF($A120="","",SUMIFS(INDEX(예산!$D$5:$O$204,0,설정!$B$4),예산!$A$5:$A$204,$A120))</f>
        <v/>
      </c>
      <c r="E120" s="9" t="str">
        <f aca="false">IF($A120="","",SUMIFS(INDEX(실적!$D$5:$O$204,0,설정!$B$4),실적!$A$5:$A$204,$A120))</f>
        <v/>
      </c>
      <c r="F120" s="9" t="str">
        <f aca="false">IF($A120="","",E120-D120)</f>
        <v/>
      </c>
      <c r="G120" s="10" t="str">
        <f aca="false">IF($A120="","",IF(D120=0,"n/a",F120/ABS(D120)))</f>
        <v/>
      </c>
      <c r="H120" s="11" t="str">
        <f aca="false">IF($A120="","",IF(F120=0,"-",IF((C120="매출")=(F120&gt;0),"유리","불리")))</f>
        <v/>
      </c>
      <c r="I120" s="9" t="str">
        <f aca="false">IF($A120="","",SUMPRODUCT((예산!$A$5:$A$204=$A120)*(COLUMN(예산!$D$4:$O$4)-COLUMN(예산!$D$4)+1&lt;=설정!$B$4)*예산!$D$5:$O$204))</f>
        <v/>
      </c>
      <c r="J120" s="9" t="str">
        <f aca="false">IF($A120="","",SUMPRODUCT((실적!$A$5:$A$204=$A120)*(COLUMN(실적!$D$4:$O$4)-COLUMN(실적!$D$4)+1&lt;=설정!$B$4)*실적!$D$5:$O$204))</f>
        <v/>
      </c>
      <c r="K120" s="9" t="str">
        <f aca="false">IF($A120="","",J120-I120)</f>
        <v/>
      </c>
      <c r="L120" s="10" t="str">
        <f aca="false">IF($A120="","",IF(I120=0,"n/a",K120/ABS(I120)))</f>
        <v/>
      </c>
      <c r="M120" s="11" t="str">
        <f aca="false">IF($A120="","",IF(K120=0,"-",IF((C120="매출")=(K120&gt;0),"유리","불리")))</f>
        <v/>
      </c>
      <c r="N120" s="18" t="str">
        <f aca="false">IF($A120="","",IF(AND(ABS(F120)&gt;=설정!$B$5,OR(D120=0,ABS(IF(D120=0,0,F120/D120))&gt;=설정!$B$6)),"●",""))</f>
        <v/>
      </c>
      <c r="O120" s="31"/>
      <c r="P120" s="44" t="str">
        <f aca="false">IF($A120="","",IF(N120="","",B120&amp;": 당월 실적 "&amp;TEXT(E120,"#,##0")&amp;설정!$B$7&amp;"으로 예산 대비 "&amp;TEXT(ABS(F120),"#,##0")&amp;설정!$B$7&amp;"("&amp;IF(D120=0,"예산 없음",TEXT(ABS(G120),"0.0%"))&amp;") "&amp;IF(C120="매출",IF(F120&gt;0,"상회","하회"),IF(F120&gt;0,"초과","절감"))&amp;" ["&amp;H120&amp;"]. 원인: "&amp;IF(O120="","___",O120)))</f>
        <v/>
      </c>
      <c r="Q120" s="45" t="str">
        <f aca="false">IF($A120="","",IF(N120="●",ABS(F120)+ROW()/1000000,0))</f>
        <v/>
      </c>
    </row>
    <row r="121" customFormat="false" ht="15" hidden="false" customHeight="false" outlineLevel="0" collapsed="false">
      <c r="A121" s="43" t="str">
        <f aca="false">IF(예산!A121="","",예산!A121)</f>
        <v/>
      </c>
      <c r="B121" s="43" t="str">
        <f aca="false">IF(예산!B121="","",예산!B121)</f>
        <v/>
      </c>
      <c r="C121" s="43" t="str">
        <f aca="false">IF(예산!C121="","",예산!C121)</f>
        <v/>
      </c>
      <c r="D121" s="9" t="str">
        <f aca="false">IF($A121="","",SUMIFS(INDEX(예산!$D$5:$O$204,0,설정!$B$4),예산!$A$5:$A$204,$A121))</f>
        <v/>
      </c>
      <c r="E121" s="9" t="str">
        <f aca="false">IF($A121="","",SUMIFS(INDEX(실적!$D$5:$O$204,0,설정!$B$4),실적!$A$5:$A$204,$A121))</f>
        <v/>
      </c>
      <c r="F121" s="9" t="str">
        <f aca="false">IF($A121="","",E121-D121)</f>
        <v/>
      </c>
      <c r="G121" s="10" t="str">
        <f aca="false">IF($A121="","",IF(D121=0,"n/a",F121/ABS(D121)))</f>
        <v/>
      </c>
      <c r="H121" s="11" t="str">
        <f aca="false">IF($A121="","",IF(F121=0,"-",IF((C121="매출")=(F121&gt;0),"유리","불리")))</f>
        <v/>
      </c>
      <c r="I121" s="9" t="str">
        <f aca="false">IF($A121="","",SUMPRODUCT((예산!$A$5:$A$204=$A121)*(COLUMN(예산!$D$4:$O$4)-COLUMN(예산!$D$4)+1&lt;=설정!$B$4)*예산!$D$5:$O$204))</f>
        <v/>
      </c>
      <c r="J121" s="9" t="str">
        <f aca="false">IF($A121="","",SUMPRODUCT((실적!$A$5:$A$204=$A121)*(COLUMN(실적!$D$4:$O$4)-COLUMN(실적!$D$4)+1&lt;=설정!$B$4)*실적!$D$5:$O$204))</f>
        <v/>
      </c>
      <c r="K121" s="9" t="str">
        <f aca="false">IF($A121="","",J121-I121)</f>
        <v/>
      </c>
      <c r="L121" s="10" t="str">
        <f aca="false">IF($A121="","",IF(I121=0,"n/a",K121/ABS(I121)))</f>
        <v/>
      </c>
      <c r="M121" s="11" t="str">
        <f aca="false">IF($A121="","",IF(K121=0,"-",IF((C121="매출")=(K121&gt;0),"유리","불리")))</f>
        <v/>
      </c>
      <c r="N121" s="18" t="str">
        <f aca="false">IF($A121="","",IF(AND(ABS(F121)&gt;=설정!$B$5,OR(D121=0,ABS(IF(D121=0,0,F121/D121))&gt;=설정!$B$6)),"●",""))</f>
        <v/>
      </c>
      <c r="O121" s="31"/>
      <c r="P121" s="44" t="str">
        <f aca="false">IF($A121="","",IF(N121="","",B121&amp;": 당월 실적 "&amp;TEXT(E121,"#,##0")&amp;설정!$B$7&amp;"으로 예산 대비 "&amp;TEXT(ABS(F121),"#,##0")&amp;설정!$B$7&amp;"("&amp;IF(D121=0,"예산 없음",TEXT(ABS(G121),"0.0%"))&amp;") "&amp;IF(C121="매출",IF(F121&gt;0,"상회","하회"),IF(F121&gt;0,"초과","절감"))&amp;" ["&amp;H121&amp;"]. 원인: "&amp;IF(O121="","___",O121)))</f>
        <v/>
      </c>
      <c r="Q121" s="45" t="str">
        <f aca="false">IF($A121="","",IF(N121="●",ABS(F121)+ROW()/1000000,0))</f>
        <v/>
      </c>
    </row>
    <row r="122" customFormat="false" ht="15" hidden="false" customHeight="false" outlineLevel="0" collapsed="false">
      <c r="A122" s="43" t="str">
        <f aca="false">IF(예산!A122="","",예산!A122)</f>
        <v/>
      </c>
      <c r="B122" s="43" t="str">
        <f aca="false">IF(예산!B122="","",예산!B122)</f>
        <v/>
      </c>
      <c r="C122" s="43" t="str">
        <f aca="false">IF(예산!C122="","",예산!C122)</f>
        <v/>
      </c>
      <c r="D122" s="9" t="str">
        <f aca="false">IF($A122="","",SUMIFS(INDEX(예산!$D$5:$O$204,0,설정!$B$4),예산!$A$5:$A$204,$A122))</f>
        <v/>
      </c>
      <c r="E122" s="9" t="str">
        <f aca="false">IF($A122="","",SUMIFS(INDEX(실적!$D$5:$O$204,0,설정!$B$4),실적!$A$5:$A$204,$A122))</f>
        <v/>
      </c>
      <c r="F122" s="9" t="str">
        <f aca="false">IF($A122="","",E122-D122)</f>
        <v/>
      </c>
      <c r="G122" s="10" t="str">
        <f aca="false">IF($A122="","",IF(D122=0,"n/a",F122/ABS(D122)))</f>
        <v/>
      </c>
      <c r="H122" s="11" t="str">
        <f aca="false">IF($A122="","",IF(F122=0,"-",IF((C122="매출")=(F122&gt;0),"유리","불리")))</f>
        <v/>
      </c>
      <c r="I122" s="9" t="str">
        <f aca="false">IF($A122="","",SUMPRODUCT((예산!$A$5:$A$204=$A122)*(COLUMN(예산!$D$4:$O$4)-COLUMN(예산!$D$4)+1&lt;=설정!$B$4)*예산!$D$5:$O$204))</f>
        <v/>
      </c>
      <c r="J122" s="9" t="str">
        <f aca="false">IF($A122="","",SUMPRODUCT((실적!$A$5:$A$204=$A122)*(COLUMN(실적!$D$4:$O$4)-COLUMN(실적!$D$4)+1&lt;=설정!$B$4)*실적!$D$5:$O$204))</f>
        <v/>
      </c>
      <c r="K122" s="9" t="str">
        <f aca="false">IF($A122="","",J122-I122)</f>
        <v/>
      </c>
      <c r="L122" s="10" t="str">
        <f aca="false">IF($A122="","",IF(I122=0,"n/a",K122/ABS(I122)))</f>
        <v/>
      </c>
      <c r="M122" s="11" t="str">
        <f aca="false">IF($A122="","",IF(K122=0,"-",IF((C122="매출")=(K122&gt;0),"유리","불리")))</f>
        <v/>
      </c>
      <c r="N122" s="18" t="str">
        <f aca="false">IF($A122="","",IF(AND(ABS(F122)&gt;=설정!$B$5,OR(D122=0,ABS(IF(D122=0,0,F122/D122))&gt;=설정!$B$6)),"●",""))</f>
        <v/>
      </c>
      <c r="O122" s="31"/>
      <c r="P122" s="44" t="str">
        <f aca="false">IF($A122="","",IF(N122="","",B122&amp;": 당월 실적 "&amp;TEXT(E122,"#,##0")&amp;설정!$B$7&amp;"으로 예산 대비 "&amp;TEXT(ABS(F122),"#,##0")&amp;설정!$B$7&amp;"("&amp;IF(D122=0,"예산 없음",TEXT(ABS(G122),"0.0%"))&amp;") "&amp;IF(C122="매출",IF(F122&gt;0,"상회","하회"),IF(F122&gt;0,"초과","절감"))&amp;" ["&amp;H122&amp;"]. 원인: "&amp;IF(O122="","___",O122)))</f>
        <v/>
      </c>
      <c r="Q122" s="45" t="str">
        <f aca="false">IF($A122="","",IF(N122="●",ABS(F122)+ROW()/1000000,0))</f>
        <v/>
      </c>
    </row>
    <row r="123" customFormat="false" ht="15" hidden="false" customHeight="false" outlineLevel="0" collapsed="false">
      <c r="A123" s="43" t="str">
        <f aca="false">IF(예산!A123="","",예산!A123)</f>
        <v/>
      </c>
      <c r="B123" s="43" t="str">
        <f aca="false">IF(예산!B123="","",예산!B123)</f>
        <v/>
      </c>
      <c r="C123" s="43" t="str">
        <f aca="false">IF(예산!C123="","",예산!C123)</f>
        <v/>
      </c>
      <c r="D123" s="9" t="str">
        <f aca="false">IF($A123="","",SUMIFS(INDEX(예산!$D$5:$O$204,0,설정!$B$4),예산!$A$5:$A$204,$A123))</f>
        <v/>
      </c>
      <c r="E123" s="9" t="str">
        <f aca="false">IF($A123="","",SUMIFS(INDEX(실적!$D$5:$O$204,0,설정!$B$4),실적!$A$5:$A$204,$A123))</f>
        <v/>
      </c>
      <c r="F123" s="9" t="str">
        <f aca="false">IF($A123="","",E123-D123)</f>
        <v/>
      </c>
      <c r="G123" s="10" t="str">
        <f aca="false">IF($A123="","",IF(D123=0,"n/a",F123/ABS(D123)))</f>
        <v/>
      </c>
      <c r="H123" s="11" t="str">
        <f aca="false">IF($A123="","",IF(F123=0,"-",IF((C123="매출")=(F123&gt;0),"유리","불리")))</f>
        <v/>
      </c>
      <c r="I123" s="9" t="str">
        <f aca="false">IF($A123="","",SUMPRODUCT((예산!$A$5:$A$204=$A123)*(COLUMN(예산!$D$4:$O$4)-COLUMN(예산!$D$4)+1&lt;=설정!$B$4)*예산!$D$5:$O$204))</f>
        <v/>
      </c>
      <c r="J123" s="9" t="str">
        <f aca="false">IF($A123="","",SUMPRODUCT((실적!$A$5:$A$204=$A123)*(COLUMN(실적!$D$4:$O$4)-COLUMN(실적!$D$4)+1&lt;=설정!$B$4)*실적!$D$5:$O$204))</f>
        <v/>
      </c>
      <c r="K123" s="9" t="str">
        <f aca="false">IF($A123="","",J123-I123)</f>
        <v/>
      </c>
      <c r="L123" s="10" t="str">
        <f aca="false">IF($A123="","",IF(I123=0,"n/a",K123/ABS(I123)))</f>
        <v/>
      </c>
      <c r="M123" s="11" t="str">
        <f aca="false">IF($A123="","",IF(K123=0,"-",IF((C123="매출")=(K123&gt;0),"유리","불리")))</f>
        <v/>
      </c>
      <c r="N123" s="18" t="str">
        <f aca="false">IF($A123="","",IF(AND(ABS(F123)&gt;=설정!$B$5,OR(D123=0,ABS(IF(D123=0,0,F123/D123))&gt;=설정!$B$6)),"●",""))</f>
        <v/>
      </c>
      <c r="O123" s="31"/>
      <c r="P123" s="44" t="str">
        <f aca="false">IF($A123="","",IF(N123="","",B123&amp;": 당월 실적 "&amp;TEXT(E123,"#,##0")&amp;설정!$B$7&amp;"으로 예산 대비 "&amp;TEXT(ABS(F123),"#,##0")&amp;설정!$B$7&amp;"("&amp;IF(D123=0,"예산 없음",TEXT(ABS(G123),"0.0%"))&amp;") "&amp;IF(C123="매출",IF(F123&gt;0,"상회","하회"),IF(F123&gt;0,"초과","절감"))&amp;" ["&amp;H123&amp;"]. 원인: "&amp;IF(O123="","___",O123)))</f>
        <v/>
      </c>
      <c r="Q123" s="45" t="str">
        <f aca="false">IF($A123="","",IF(N123="●",ABS(F123)+ROW()/1000000,0))</f>
        <v/>
      </c>
    </row>
    <row r="124" customFormat="false" ht="15" hidden="false" customHeight="false" outlineLevel="0" collapsed="false">
      <c r="A124" s="43" t="str">
        <f aca="false">IF(예산!A124="","",예산!A124)</f>
        <v/>
      </c>
      <c r="B124" s="43" t="str">
        <f aca="false">IF(예산!B124="","",예산!B124)</f>
        <v/>
      </c>
      <c r="C124" s="43" t="str">
        <f aca="false">IF(예산!C124="","",예산!C124)</f>
        <v/>
      </c>
      <c r="D124" s="9" t="str">
        <f aca="false">IF($A124="","",SUMIFS(INDEX(예산!$D$5:$O$204,0,설정!$B$4),예산!$A$5:$A$204,$A124))</f>
        <v/>
      </c>
      <c r="E124" s="9" t="str">
        <f aca="false">IF($A124="","",SUMIFS(INDEX(실적!$D$5:$O$204,0,설정!$B$4),실적!$A$5:$A$204,$A124))</f>
        <v/>
      </c>
      <c r="F124" s="9" t="str">
        <f aca="false">IF($A124="","",E124-D124)</f>
        <v/>
      </c>
      <c r="G124" s="10" t="str">
        <f aca="false">IF($A124="","",IF(D124=0,"n/a",F124/ABS(D124)))</f>
        <v/>
      </c>
      <c r="H124" s="11" t="str">
        <f aca="false">IF($A124="","",IF(F124=0,"-",IF((C124="매출")=(F124&gt;0),"유리","불리")))</f>
        <v/>
      </c>
      <c r="I124" s="9" t="str">
        <f aca="false">IF($A124="","",SUMPRODUCT((예산!$A$5:$A$204=$A124)*(COLUMN(예산!$D$4:$O$4)-COLUMN(예산!$D$4)+1&lt;=설정!$B$4)*예산!$D$5:$O$204))</f>
        <v/>
      </c>
      <c r="J124" s="9" t="str">
        <f aca="false">IF($A124="","",SUMPRODUCT((실적!$A$5:$A$204=$A124)*(COLUMN(실적!$D$4:$O$4)-COLUMN(실적!$D$4)+1&lt;=설정!$B$4)*실적!$D$5:$O$204))</f>
        <v/>
      </c>
      <c r="K124" s="9" t="str">
        <f aca="false">IF($A124="","",J124-I124)</f>
        <v/>
      </c>
      <c r="L124" s="10" t="str">
        <f aca="false">IF($A124="","",IF(I124=0,"n/a",K124/ABS(I124)))</f>
        <v/>
      </c>
      <c r="M124" s="11" t="str">
        <f aca="false">IF($A124="","",IF(K124=0,"-",IF((C124="매출")=(K124&gt;0),"유리","불리")))</f>
        <v/>
      </c>
      <c r="N124" s="18" t="str">
        <f aca="false">IF($A124="","",IF(AND(ABS(F124)&gt;=설정!$B$5,OR(D124=0,ABS(IF(D124=0,0,F124/D124))&gt;=설정!$B$6)),"●",""))</f>
        <v/>
      </c>
      <c r="O124" s="31"/>
      <c r="P124" s="44" t="str">
        <f aca="false">IF($A124="","",IF(N124="","",B124&amp;": 당월 실적 "&amp;TEXT(E124,"#,##0")&amp;설정!$B$7&amp;"으로 예산 대비 "&amp;TEXT(ABS(F124),"#,##0")&amp;설정!$B$7&amp;"("&amp;IF(D124=0,"예산 없음",TEXT(ABS(G124),"0.0%"))&amp;") "&amp;IF(C124="매출",IF(F124&gt;0,"상회","하회"),IF(F124&gt;0,"초과","절감"))&amp;" ["&amp;H124&amp;"]. 원인: "&amp;IF(O124="","___",O124)))</f>
        <v/>
      </c>
      <c r="Q124" s="45" t="str">
        <f aca="false">IF($A124="","",IF(N124="●",ABS(F124)+ROW()/1000000,0))</f>
        <v/>
      </c>
    </row>
    <row r="125" customFormat="false" ht="15" hidden="false" customHeight="false" outlineLevel="0" collapsed="false">
      <c r="A125" s="43" t="str">
        <f aca="false">IF(예산!A125="","",예산!A125)</f>
        <v/>
      </c>
      <c r="B125" s="43" t="str">
        <f aca="false">IF(예산!B125="","",예산!B125)</f>
        <v/>
      </c>
      <c r="C125" s="43" t="str">
        <f aca="false">IF(예산!C125="","",예산!C125)</f>
        <v/>
      </c>
      <c r="D125" s="9" t="str">
        <f aca="false">IF($A125="","",SUMIFS(INDEX(예산!$D$5:$O$204,0,설정!$B$4),예산!$A$5:$A$204,$A125))</f>
        <v/>
      </c>
      <c r="E125" s="9" t="str">
        <f aca="false">IF($A125="","",SUMIFS(INDEX(실적!$D$5:$O$204,0,설정!$B$4),실적!$A$5:$A$204,$A125))</f>
        <v/>
      </c>
      <c r="F125" s="9" t="str">
        <f aca="false">IF($A125="","",E125-D125)</f>
        <v/>
      </c>
      <c r="G125" s="10" t="str">
        <f aca="false">IF($A125="","",IF(D125=0,"n/a",F125/ABS(D125)))</f>
        <v/>
      </c>
      <c r="H125" s="11" t="str">
        <f aca="false">IF($A125="","",IF(F125=0,"-",IF((C125="매출")=(F125&gt;0),"유리","불리")))</f>
        <v/>
      </c>
      <c r="I125" s="9" t="str">
        <f aca="false">IF($A125="","",SUMPRODUCT((예산!$A$5:$A$204=$A125)*(COLUMN(예산!$D$4:$O$4)-COLUMN(예산!$D$4)+1&lt;=설정!$B$4)*예산!$D$5:$O$204))</f>
        <v/>
      </c>
      <c r="J125" s="9" t="str">
        <f aca="false">IF($A125="","",SUMPRODUCT((실적!$A$5:$A$204=$A125)*(COLUMN(실적!$D$4:$O$4)-COLUMN(실적!$D$4)+1&lt;=설정!$B$4)*실적!$D$5:$O$204))</f>
        <v/>
      </c>
      <c r="K125" s="9" t="str">
        <f aca="false">IF($A125="","",J125-I125)</f>
        <v/>
      </c>
      <c r="L125" s="10" t="str">
        <f aca="false">IF($A125="","",IF(I125=0,"n/a",K125/ABS(I125)))</f>
        <v/>
      </c>
      <c r="M125" s="11" t="str">
        <f aca="false">IF($A125="","",IF(K125=0,"-",IF((C125="매출")=(K125&gt;0),"유리","불리")))</f>
        <v/>
      </c>
      <c r="N125" s="18" t="str">
        <f aca="false">IF($A125="","",IF(AND(ABS(F125)&gt;=설정!$B$5,OR(D125=0,ABS(IF(D125=0,0,F125/D125))&gt;=설정!$B$6)),"●",""))</f>
        <v/>
      </c>
      <c r="O125" s="31"/>
      <c r="P125" s="44" t="str">
        <f aca="false">IF($A125="","",IF(N125="","",B125&amp;": 당월 실적 "&amp;TEXT(E125,"#,##0")&amp;설정!$B$7&amp;"으로 예산 대비 "&amp;TEXT(ABS(F125),"#,##0")&amp;설정!$B$7&amp;"("&amp;IF(D125=0,"예산 없음",TEXT(ABS(G125),"0.0%"))&amp;") "&amp;IF(C125="매출",IF(F125&gt;0,"상회","하회"),IF(F125&gt;0,"초과","절감"))&amp;" ["&amp;H125&amp;"]. 원인: "&amp;IF(O125="","___",O125)))</f>
        <v/>
      </c>
      <c r="Q125" s="45" t="str">
        <f aca="false">IF($A125="","",IF(N125="●",ABS(F125)+ROW()/1000000,0))</f>
        <v/>
      </c>
    </row>
    <row r="126" customFormat="false" ht="15" hidden="false" customHeight="false" outlineLevel="0" collapsed="false">
      <c r="A126" s="43" t="str">
        <f aca="false">IF(예산!A126="","",예산!A126)</f>
        <v/>
      </c>
      <c r="B126" s="43" t="str">
        <f aca="false">IF(예산!B126="","",예산!B126)</f>
        <v/>
      </c>
      <c r="C126" s="43" t="str">
        <f aca="false">IF(예산!C126="","",예산!C126)</f>
        <v/>
      </c>
      <c r="D126" s="9" t="str">
        <f aca="false">IF($A126="","",SUMIFS(INDEX(예산!$D$5:$O$204,0,설정!$B$4),예산!$A$5:$A$204,$A126))</f>
        <v/>
      </c>
      <c r="E126" s="9" t="str">
        <f aca="false">IF($A126="","",SUMIFS(INDEX(실적!$D$5:$O$204,0,설정!$B$4),실적!$A$5:$A$204,$A126))</f>
        <v/>
      </c>
      <c r="F126" s="9" t="str">
        <f aca="false">IF($A126="","",E126-D126)</f>
        <v/>
      </c>
      <c r="G126" s="10" t="str">
        <f aca="false">IF($A126="","",IF(D126=0,"n/a",F126/ABS(D126)))</f>
        <v/>
      </c>
      <c r="H126" s="11" t="str">
        <f aca="false">IF($A126="","",IF(F126=0,"-",IF((C126="매출")=(F126&gt;0),"유리","불리")))</f>
        <v/>
      </c>
      <c r="I126" s="9" t="str">
        <f aca="false">IF($A126="","",SUMPRODUCT((예산!$A$5:$A$204=$A126)*(COLUMN(예산!$D$4:$O$4)-COLUMN(예산!$D$4)+1&lt;=설정!$B$4)*예산!$D$5:$O$204))</f>
        <v/>
      </c>
      <c r="J126" s="9" t="str">
        <f aca="false">IF($A126="","",SUMPRODUCT((실적!$A$5:$A$204=$A126)*(COLUMN(실적!$D$4:$O$4)-COLUMN(실적!$D$4)+1&lt;=설정!$B$4)*실적!$D$5:$O$204))</f>
        <v/>
      </c>
      <c r="K126" s="9" t="str">
        <f aca="false">IF($A126="","",J126-I126)</f>
        <v/>
      </c>
      <c r="L126" s="10" t="str">
        <f aca="false">IF($A126="","",IF(I126=0,"n/a",K126/ABS(I126)))</f>
        <v/>
      </c>
      <c r="M126" s="11" t="str">
        <f aca="false">IF($A126="","",IF(K126=0,"-",IF((C126="매출")=(K126&gt;0),"유리","불리")))</f>
        <v/>
      </c>
      <c r="N126" s="18" t="str">
        <f aca="false">IF($A126="","",IF(AND(ABS(F126)&gt;=설정!$B$5,OR(D126=0,ABS(IF(D126=0,0,F126/D126))&gt;=설정!$B$6)),"●",""))</f>
        <v/>
      </c>
      <c r="O126" s="31"/>
      <c r="P126" s="44" t="str">
        <f aca="false">IF($A126="","",IF(N126="","",B126&amp;": 당월 실적 "&amp;TEXT(E126,"#,##0")&amp;설정!$B$7&amp;"으로 예산 대비 "&amp;TEXT(ABS(F126),"#,##0")&amp;설정!$B$7&amp;"("&amp;IF(D126=0,"예산 없음",TEXT(ABS(G126),"0.0%"))&amp;") "&amp;IF(C126="매출",IF(F126&gt;0,"상회","하회"),IF(F126&gt;0,"초과","절감"))&amp;" ["&amp;H126&amp;"]. 원인: "&amp;IF(O126="","___",O126)))</f>
        <v/>
      </c>
      <c r="Q126" s="45" t="str">
        <f aca="false">IF($A126="","",IF(N126="●",ABS(F126)+ROW()/1000000,0))</f>
        <v/>
      </c>
    </row>
    <row r="127" customFormat="false" ht="15" hidden="false" customHeight="false" outlineLevel="0" collapsed="false">
      <c r="A127" s="43" t="str">
        <f aca="false">IF(예산!A127="","",예산!A127)</f>
        <v/>
      </c>
      <c r="B127" s="43" t="str">
        <f aca="false">IF(예산!B127="","",예산!B127)</f>
        <v/>
      </c>
      <c r="C127" s="43" t="str">
        <f aca="false">IF(예산!C127="","",예산!C127)</f>
        <v/>
      </c>
      <c r="D127" s="9" t="str">
        <f aca="false">IF($A127="","",SUMIFS(INDEX(예산!$D$5:$O$204,0,설정!$B$4),예산!$A$5:$A$204,$A127))</f>
        <v/>
      </c>
      <c r="E127" s="9" t="str">
        <f aca="false">IF($A127="","",SUMIFS(INDEX(실적!$D$5:$O$204,0,설정!$B$4),실적!$A$5:$A$204,$A127))</f>
        <v/>
      </c>
      <c r="F127" s="9" t="str">
        <f aca="false">IF($A127="","",E127-D127)</f>
        <v/>
      </c>
      <c r="G127" s="10" t="str">
        <f aca="false">IF($A127="","",IF(D127=0,"n/a",F127/ABS(D127)))</f>
        <v/>
      </c>
      <c r="H127" s="11" t="str">
        <f aca="false">IF($A127="","",IF(F127=0,"-",IF((C127="매출")=(F127&gt;0),"유리","불리")))</f>
        <v/>
      </c>
      <c r="I127" s="9" t="str">
        <f aca="false">IF($A127="","",SUMPRODUCT((예산!$A$5:$A$204=$A127)*(COLUMN(예산!$D$4:$O$4)-COLUMN(예산!$D$4)+1&lt;=설정!$B$4)*예산!$D$5:$O$204))</f>
        <v/>
      </c>
      <c r="J127" s="9" t="str">
        <f aca="false">IF($A127="","",SUMPRODUCT((실적!$A$5:$A$204=$A127)*(COLUMN(실적!$D$4:$O$4)-COLUMN(실적!$D$4)+1&lt;=설정!$B$4)*실적!$D$5:$O$204))</f>
        <v/>
      </c>
      <c r="K127" s="9" t="str">
        <f aca="false">IF($A127="","",J127-I127)</f>
        <v/>
      </c>
      <c r="L127" s="10" t="str">
        <f aca="false">IF($A127="","",IF(I127=0,"n/a",K127/ABS(I127)))</f>
        <v/>
      </c>
      <c r="M127" s="11" t="str">
        <f aca="false">IF($A127="","",IF(K127=0,"-",IF((C127="매출")=(K127&gt;0),"유리","불리")))</f>
        <v/>
      </c>
      <c r="N127" s="18" t="str">
        <f aca="false">IF($A127="","",IF(AND(ABS(F127)&gt;=설정!$B$5,OR(D127=0,ABS(IF(D127=0,0,F127/D127))&gt;=설정!$B$6)),"●",""))</f>
        <v/>
      </c>
      <c r="O127" s="31"/>
      <c r="P127" s="44" t="str">
        <f aca="false">IF($A127="","",IF(N127="","",B127&amp;": 당월 실적 "&amp;TEXT(E127,"#,##0")&amp;설정!$B$7&amp;"으로 예산 대비 "&amp;TEXT(ABS(F127),"#,##0")&amp;설정!$B$7&amp;"("&amp;IF(D127=0,"예산 없음",TEXT(ABS(G127),"0.0%"))&amp;") "&amp;IF(C127="매출",IF(F127&gt;0,"상회","하회"),IF(F127&gt;0,"초과","절감"))&amp;" ["&amp;H127&amp;"]. 원인: "&amp;IF(O127="","___",O127)))</f>
        <v/>
      </c>
      <c r="Q127" s="45" t="str">
        <f aca="false">IF($A127="","",IF(N127="●",ABS(F127)+ROW()/1000000,0))</f>
        <v/>
      </c>
    </row>
    <row r="128" customFormat="false" ht="15" hidden="false" customHeight="false" outlineLevel="0" collapsed="false">
      <c r="A128" s="43" t="str">
        <f aca="false">IF(예산!A128="","",예산!A128)</f>
        <v/>
      </c>
      <c r="B128" s="43" t="str">
        <f aca="false">IF(예산!B128="","",예산!B128)</f>
        <v/>
      </c>
      <c r="C128" s="43" t="str">
        <f aca="false">IF(예산!C128="","",예산!C128)</f>
        <v/>
      </c>
      <c r="D128" s="9" t="str">
        <f aca="false">IF($A128="","",SUMIFS(INDEX(예산!$D$5:$O$204,0,설정!$B$4),예산!$A$5:$A$204,$A128))</f>
        <v/>
      </c>
      <c r="E128" s="9" t="str">
        <f aca="false">IF($A128="","",SUMIFS(INDEX(실적!$D$5:$O$204,0,설정!$B$4),실적!$A$5:$A$204,$A128))</f>
        <v/>
      </c>
      <c r="F128" s="9" t="str">
        <f aca="false">IF($A128="","",E128-D128)</f>
        <v/>
      </c>
      <c r="G128" s="10" t="str">
        <f aca="false">IF($A128="","",IF(D128=0,"n/a",F128/ABS(D128)))</f>
        <v/>
      </c>
      <c r="H128" s="11" t="str">
        <f aca="false">IF($A128="","",IF(F128=0,"-",IF((C128="매출")=(F128&gt;0),"유리","불리")))</f>
        <v/>
      </c>
      <c r="I128" s="9" t="str">
        <f aca="false">IF($A128="","",SUMPRODUCT((예산!$A$5:$A$204=$A128)*(COLUMN(예산!$D$4:$O$4)-COLUMN(예산!$D$4)+1&lt;=설정!$B$4)*예산!$D$5:$O$204))</f>
        <v/>
      </c>
      <c r="J128" s="9" t="str">
        <f aca="false">IF($A128="","",SUMPRODUCT((실적!$A$5:$A$204=$A128)*(COLUMN(실적!$D$4:$O$4)-COLUMN(실적!$D$4)+1&lt;=설정!$B$4)*실적!$D$5:$O$204))</f>
        <v/>
      </c>
      <c r="K128" s="9" t="str">
        <f aca="false">IF($A128="","",J128-I128)</f>
        <v/>
      </c>
      <c r="L128" s="10" t="str">
        <f aca="false">IF($A128="","",IF(I128=0,"n/a",K128/ABS(I128)))</f>
        <v/>
      </c>
      <c r="M128" s="11" t="str">
        <f aca="false">IF($A128="","",IF(K128=0,"-",IF((C128="매출")=(K128&gt;0),"유리","불리")))</f>
        <v/>
      </c>
      <c r="N128" s="18" t="str">
        <f aca="false">IF($A128="","",IF(AND(ABS(F128)&gt;=설정!$B$5,OR(D128=0,ABS(IF(D128=0,0,F128/D128))&gt;=설정!$B$6)),"●",""))</f>
        <v/>
      </c>
      <c r="O128" s="31"/>
      <c r="P128" s="44" t="str">
        <f aca="false">IF($A128="","",IF(N128="","",B128&amp;": 당월 실적 "&amp;TEXT(E128,"#,##0")&amp;설정!$B$7&amp;"으로 예산 대비 "&amp;TEXT(ABS(F128),"#,##0")&amp;설정!$B$7&amp;"("&amp;IF(D128=0,"예산 없음",TEXT(ABS(G128),"0.0%"))&amp;") "&amp;IF(C128="매출",IF(F128&gt;0,"상회","하회"),IF(F128&gt;0,"초과","절감"))&amp;" ["&amp;H128&amp;"]. 원인: "&amp;IF(O128="","___",O128)))</f>
        <v/>
      </c>
      <c r="Q128" s="45" t="str">
        <f aca="false">IF($A128="","",IF(N128="●",ABS(F128)+ROW()/1000000,0))</f>
        <v/>
      </c>
    </row>
    <row r="129" customFormat="false" ht="15" hidden="false" customHeight="false" outlineLevel="0" collapsed="false">
      <c r="A129" s="43" t="str">
        <f aca="false">IF(예산!A129="","",예산!A129)</f>
        <v/>
      </c>
      <c r="B129" s="43" t="str">
        <f aca="false">IF(예산!B129="","",예산!B129)</f>
        <v/>
      </c>
      <c r="C129" s="43" t="str">
        <f aca="false">IF(예산!C129="","",예산!C129)</f>
        <v/>
      </c>
      <c r="D129" s="9" t="str">
        <f aca="false">IF($A129="","",SUMIFS(INDEX(예산!$D$5:$O$204,0,설정!$B$4),예산!$A$5:$A$204,$A129))</f>
        <v/>
      </c>
      <c r="E129" s="9" t="str">
        <f aca="false">IF($A129="","",SUMIFS(INDEX(실적!$D$5:$O$204,0,설정!$B$4),실적!$A$5:$A$204,$A129))</f>
        <v/>
      </c>
      <c r="F129" s="9" t="str">
        <f aca="false">IF($A129="","",E129-D129)</f>
        <v/>
      </c>
      <c r="G129" s="10" t="str">
        <f aca="false">IF($A129="","",IF(D129=0,"n/a",F129/ABS(D129)))</f>
        <v/>
      </c>
      <c r="H129" s="11" t="str">
        <f aca="false">IF($A129="","",IF(F129=0,"-",IF((C129="매출")=(F129&gt;0),"유리","불리")))</f>
        <v/>
      </c>
      <c r="I129" s="9" t="str">
        <f aca="false">IF($A129="","",SUMPRODUCT((예산!$A$5:$A$204=$A129)*(COLUMN(예산!$D$4:$O$4)-COLUMN(예산!$D$4)+1&lt;=설정!$B$4)*예산!$D$5:$O$204))</f>
        <v/>
      </c>
      <c r="J129" s="9" t="str">
        <f aca="false">IF($A129="","",SUMPRODUCT((실적!$A$5:$A$204=$A129)*(COLUMN(실적!$D$4:$O$4)-COLUMN(실적!$D$4)+1&lt;=설정!$B$4)*실적!$D$5:$O$204))</f>
        <v/>
      </c>
      <c r="K129" s="9" t="str">
        <f aca="false">IF($A129="","",J129-I129)</f>
        <v/>
      </c>
      <c r="L129" s="10" t="str">
        <f aca="false">IF($A129="","",IF(I129=0,"n/a",K129/ABS(I129)))</f>
        <v/>
      </c>
      <c r="M129" s="11" t="str">
        <f aca="false">IF($A129="","",IF(K129=0,"-",IF((C129="매출")=(K129&gt;0),"유리","불리")))</f>
        <v/>
      </c>
      <c r="N129" s="18" t="str">
        <f aca="false">IF($A129="","",IF(AND(ABS(F129)&gt;=설정!$B$5,OR(D129=0,ABS(IF(D129=0,0,F129/D129))&gt;=설정!$B$6)),"●",""))</f>
        <v/>
      </c>
      <c r="O129" s="31"/>
      <c r="P129" s="44" t="str">
        <f aca="false">IF($A129="","",IF(N129="","",B129&amp;": 당월 실적 "&amp;TEXT(E129,"#,##0")&amp;설정!$B$7&amp;"으로 예산 대비 "&amp;TEXT(ABS(F129),"#,##0")&amp;설정!$B$7&amp;"("&amp;IF(D129=0,"예산 없음",TEXT(ABS(G129),"0.0%"))&amp;") "&amp;IF(C129="매출",IF(F129&gt;0,"상회","하회"),IF(F129&gt;0,"초과","절감"))&amp;" ["&amp;H129&amp;"]. 원인: "&amp;IF(O129="","___",O129)))</f>
        <v/>
      </c>
      <c r="Q129" s="45" t="str">
        <f aca="false">IF($A129="","",IF(N129="●",ABS(F129)+ROW()/1000000,0))</f>
        <v/>
      </c>
    </row>
    <row r="130" customFormat="false" ht="15" hidden="false" customHeight="false" outlineLevel="0" collapsed="false">
      <c r="A130" s="43" t="str">
        <f aca="false">IF(예산!A130="","",예산!A130)</f>
        <v/>
      </c>
      <c r="B130" s="43" t="str">
        <f aca="false">IF(예산!B130="","",예산!B130)</f>
        <v/>
      </c>
      <c r="C130" s="43" t="str">
        <f aca="false">IF(예산!C130="","",예산!C130)</f>
        <v/>
      </c>
      <c r="D130" s="9" t="str">
        <f aca="false">IF($A130="","",SUMIFS(INDEX(예산!$D$5:$O$204,0,설정!$B$4),예산!$A$5:$A$204,$A130))</f>
        <v/>
      </c>
      <c r="E130" s="9" t="str">
        <f aca="false">IF($A130="","",SUMIFS(INDEX(실적!$D$5:$O$204,0,설정!$B$4),실적!$A$5:$A$204,$A130))</f>
        <v/>
      </c>
      <c r="F130" s="9" t="str">
        <f aca="false">IF($A130="","",E130-D130)</f>
        <v/>
      </c>
      <c r="G130" s="10" t="str">
        <f aca="false">IF($A130="","",IF(D130=0,"n/a",F130/ABS(D130)))</f>
        <v/>
      </c>
      <c r="H130" s="11" t="str">
        <f aca="false">IF($A130="","",IF(F130=0,"-",IF((C130="매출")=(F130&gt;0),"유리","불리")))</f>
        <v/>
      </c>
      <c r="I130" s="9" t="str">
        <f aca="false">IF($A130="","",SUMPRODUCT((예산!$A$5:$A$204=$A130)*(COLUMN(예산!$D$4:$O$4)-COLUMN(예산!$D$4)+1&lt;=설정!$B$4)*예산!$D$5:$O$204))</f>
        <v/>
      </c>
      <c r="J130" s="9" t="str">
        <f aca="false">IF($A130="","",SUMPRODUCT((실적!$A$5:$A$204=$A130)*(COLUMN(실적!$D$4:$O$4)-COLUMN(실적!$D$4)+1&lt;=설정!$B$4)*실적!$D$5:$O$204))</f>
        <v/>
      </c>
      <c r="K130" s="9" t="str">
        <f aca="false">IF($A130="","",J130-I130)</f>
        <v/>
      </c>
      <c r="L130" s="10" t="str">
        <f aca="false">IF($A130="","",IF(I130=0,"n/a",K130/ABS(I130)))</f>
        <v/>
      </c>
      <c r="M130" s="11" t="str">
        <f aca="false">IF($A130="","",IF(K130=0,"-",IF((C130="매출")=(K130&gt;0),"유리","불리")))</f>
        <v/>
      </c>
      <c r="N130" s="18" t="str">
        <f aca="false">IF($A130="","",IF(AND(ABS(F130)&gt;=설정!$B$5,OR(D130=0,ABS(IF(D130=0,0,F130/D130))&gt;=설정!$B$6)),"●",""))</f>
        <v/>
      </c>
      <c r="O130" s="31"/>
      <c r="P130" s="44" t="str">
        <f aca="false">IF($A130="","",IF(N130="","",B130&amp;": 당월 실적 "&amp;TEXT(E130,"#,##0")&amp;설정!$B$7&amp;"으로 예산 대비 "&amp;TEXT(ABS(F130),"#,##0")&amp;설정!$B$7&amp;"("&amp;IF(D130=0,"예산 없음",TEXT(ABS(G130),"0.0%"))&amp;") "&amp;IF(C130="매출",IF(F130&gt;0,"상회","하회"),IF(F130&gt;0,"초과","절감"))&amp;" ["&amp;H130&amp;"]. 원인: "&amp;IF(O130="","___",O130)))</f>
        <v/>
      </c>
      <c r="Q130" s="45" t="str">
        <f aca="false">IF($A130="","",IF(N130="●",ABS(F130)+ROW()/1000000,0))</f>
        <v/>
      </c>
    </row>
    <row r="131" customFormat="false" ht="15" hidden="false" customHeight="false" outlineLevel="0" collapsed="false">
      <c r="A131" s="43" t="str">
        <f aca="false">IF(예산!A131="","",예산!A131)</f>
        <v/>
      </c>
      <c r="B131" s="43" t="str">
        <f aca="false">IF(예산!B131="","",예산!B131)</f>
        <v/>
      </c>
      <c r="C131" s="43" t="str">
        <f aca="false">IF(예산!C131="","",예산!C131)</f>
        <v/>
      </c>
      <c r="D131" s="9" t="str">
        <f aca="false">IF($A131="","",SUMIFS(INDEX(예산!$D$5:$O$204,0,설정!$B$4),예산!$A$5:$A$204,$A131))</f>
        <v/>
      </c>
      <c r="E131" s="9" t="str">
        <f aca="false">IF($A131="","",SUMIFS(INDEX(실적!$D$5:$O$204,0,설정!$B$4),실적!$A$5:$A$204,$A131))</f>
        <v/>
      </c>
      <c r="F131" s="9" t="str">
        <f aca="false">IF($A131="","",E131-D131)</f>
        <v/>
      </c>
      <c r="G131" s="10" t="str">
        <f aca="false">IF($A131="","",IF(D131=0,"n/a",F131/ABS(D131)))</f>
        <v/>
      </c>
      <c r="H131" s="11" t="str">
        <f aca="false">IF($A131="","",IF(F131=0,"-",IF((C131="매출")=(F131&gt;0),"유리","불리")))</f>
        <v/>
      </c>
      <c r="I131" s="9" t="str">
        <f aca="false">IF($A131="","",SUMPRODUCT((예산!$A$5:$A$204=$A131)*(COLUMN(예산!$D$4:$O$4)-COLUMN(예산!$D$4)+1&lt;=설정!$B$4)*예산!$D$5:$O$204))</f>
        <v/>
      </c>
      <c r="J131" s="9" t="str">
        <f aca="false">IF($A131="","",SUMPRODUCT((실적!$A$5:$A$204=$A131)*(COLUMN(실적!$D$4:$O$4)-COLUMN(실적!$D$4)+1&lt;=설정!$B$4)*실적!$D$5:$O$204))</f>
        <v/>
      </c>
      <c r="K131" s="9" t="str">
        <f aca="false">IF($A131="","",J131-I131)</f>
        <v/>
      </c>
      <c r="L131" s="10" t="str">
        <f aca="false">IF($A131="","",IF(I131=0,"n/a",K131/ABS(I131)))</f>
        <v/>
      </c>
      <c r="M131" s="11" t="str">
        <f aca="false">IF($A131="","",IF(K131=0,"-",IF((C131="매출")=(K131&gt;0),"유리","불리")))</f>
        <v/>
      </c>
      <c r="N131" s="18" t="str">
        <f aca="false">IF($A131="","",IF(AND(ABS(F131)&gt;=설정!$B$5,OR(D131=0,ABS(IF(D131=0,0,F131/D131))&gt;=설정!$B$6)),"●",""))</f>
        <v/>
      </c>
      <c r="O131" s="31"/>
      <c r="P131" s="44" t="str">
        <f aca="false">IF($A131="","",IF(N131="","",B131&amp;": 당월 실적 "&amp;TEXT(E131,"#,##0")&amp;설정!$B$7&amp;"으로 예산 대비 "&amp;TEXT(ABS(F131),"#,##0")&amp;설정!$B$7&amp;"("&amp;IF(D131=0,"예산 없음",TEXT(ABS(G131),"0.0%"))&amp;") "&amp;IF(C131="매출",IF(F131&gt;0,"상회","하회"),IF(F131&gt;0,"초과","절감"))&amp;" ["&amp;H131&amp;"]. 원인: "&amp;IF(O131="","___",O131)))</f>
        <v/>
      </c>
      <c r="Q131" s="45" t="str">
        <f aca="false">IF($A131="","",IF(N131="●",ABS(F131)+ROW()/1000000,0))</f>
        <v/>
      </c>
    </row>
    <row r="132" customFormat="false" ht="15" hidden="false" customHeight="false" outlineLevel="0" collapsed="false">
      <c r="A132" s="43" t="str">
        <f aca="false">IF(예산!A132="","",예산!A132)</f>
        <v/>
      </c>
      <c r="B132" s="43" t="str">
        <f aca="false">IF(예산!B132="","",예산!B132)</f>
        <v/>
      </c>
      <c r="C132" s="43" t="str">
        <f aca="false">IF(예산!C132="","",예산!C132)</f>
        <v/>
      </c>
      <c r="D132" s="9" t="str">
        <f aca="false">IF($A132="","",SUMIFS(INDEX(예산!$D$5:$O$204,0,설정!$B$4),예산!$A$5:$A$204,$A132))</f>
        <v/>
      </c>
      <c r="E132" s="9" t="str">
        <f aca="false">IF($A132="","",SUMIFS(INDEX(실적!$D$5:$O$204,0,설정!$B$4),실적!$A$5:$A$204,$A132))</f>
        <v/>
      </c>
      <c r="F132" s="9" t="str">
        <f aca="false">IF($A132="","",E132-D132)</f>
        <v/>
      </c>
      <c r="G132" s="10" t="str">
        <f aca="false">IF($A132="","",IF(D132=0,"n/a",F132/ABS(D132)))</f>
        <v/>
      </c>
      <c r="H132" s="11" t="str">
        <f aca="false">IF($A132="","",IF(F132=0,"-",IF((C132="매출")=(F132&gt;0),"유리","불리")))</f>
        <v/>
      </c>
      <c r="I132" s="9" t="str">
        <f aca="false">IF($A132="","",SUMPRODUCT((예산!$A$5:$A$204=$A132)*(COLUMN(예산!$D$4:$O$4)-COLUMN(예산!$D$4)+1&lt;=설정!$B$4)*예산!$D$5:$O$204))</f>
        <v/>
      </c>
      <c r="J132" s="9" t="str">
        <f aca="false">IF($A132="","",SUMPRODUCT((실적!$A$5:$A$204=$A132)*(COLUMN(실적!$D$4:$O$4)-COLUMN(실적!$D$4)+1&lt;=설정!$B$4)*실적!$D$5:$O$204))</f>
        <v/>
      </c>
      <c r="K132" s="9" t="str">
        <f aca="false">IF($A132="","",J132-I132)</f>
        <v/>
      </c>
      <c r="L132" s="10" t="str">
        <f aca="false">IF($A132="","",IF(I132=0,"n/a",K132/ABS(I132)))</f>
        <v/>
      </c>
      <c r="M132" s="11" t="str">
        <f aca="false">IF($A132="","",IF(K132=0,"-",IF((C132="매출")=(K132&gt;0),"유리","불리")))</f>
        <v/>
      </c>
      <c r="N132" s="18" t="str">
        <f aca="false">IF($A132="","",IF(AND(ABS(F132)&gt;=설정!$B$5,OR(D132=0,ABS(IF(D132=0,0,F132/D132))&gt;=설정!$B$6)),"●",""))</f>
        <v/>
      </c>
      <c r="O132" s="31"/>
      <c r="P132" s="44" t="str">
        <f aca="false">IF($A132="","",IF(N132="","",B132&amp;": 당월 실적 "&amp;TEXT(E132,"#,##0")&amp;설정!$B$7&amp;"으로 예산 대비 "&amp;TEXT(ABS(F132),"#,##0")&amp;설정!$B$7&amp;"("&amp;IF(D132=0,"예산 없음",TEXT(ABS(G132),"0.0%"))&amp;") "&amp;IF(C132="매출",IF(F132&gt;0,"상회","하회"),IF(F132&gt;0,"초과","절감"))&amp;" ["&amp;H132&amp;"]. 원인: "&amp;IF(O132="","___",O132)))</f>
        <v/>
      </c>
      <c r="Q132" s="45" t="str">
        <f aca="false">IF($A132="","",IF(N132="●",ABS(F132)+ROW()/1000000,0))</f>
        <v/>
      </c>
    </row>
    <row r="133" customFormat="false" ht="15" hidden="false" customHeight="false" outlineLevel="0" collapsed="false">
      <c r="A133" s="43" t="str">
        <f aca="false">IF(예산!A133="","",예산!A133)</f>
        <v/>
      </c>
      <c r="B133" s="43" t="str">
        <f aca="false">IF(예산!B133="","",예산!B133)</f>
        <v/>
      </c>
      <c r="C133" s="43" t="str">
        <f aca="false">IF(예산!C133="","",예산!C133)</f>
        <v/>
      </c>
      <c r="D133" s="9" t="str">
        <f aca="false">IF($A133="","",SUMIFS(INDEX(예산!$D$5:$O$204,0,설정!$B$4),예산!$A$5:$A$204,$A133))</f>
        <v/>
      </c>
      <c r="E133" s="9" t="str">
        <f aca="false">IF($A133="","",SUMIFS(INDEX(실적!$D$5:$O$204,0,설정!$B$4),실적!$A$5:$A$204,$A133))</f>
        <v/>
      </c>
      <c r="F133" s="9" t="str">
        <f aca="false">IF($A133="","",E133-D133)</f>
        <v/>
      </c>
      <c r="G133" s="10" t="str">
        <f aca="false">IF($A133="","",IF(D133=0,"n/a",F133/ABS(D133)))</f>
        <v/>
      </c>
      <c r="H133" s="11" t="str">
        <f aca="false">IF($A133="","",IF(F133=0,"-",IF((C133="매출")=(F133&gt;0),"유리","불리")))</f>
        <v/>
      </c>
      <c r="I133" s="9" t="str">
        <f aca="false">IF($A133="","",SUMPRODUCT((예산!$A$5:$A$204=$A133)*(COLUMN(예산!$D$4:$O$4)-COLUMN(예산!$D$4)+1&lt;=설정!$B$4)*예산!$D$5:$O$204))</f>
        <v/>
      </c>
      <c r="J133" s="9" t="str">
        <f aca="false">IF($A133="","",SUMPRODUCT((실적!$A$5:$A$204=$A133)*(COLUMN(실적!$D$4:$O$4)-COLUMN(실적!$D$4)+1&lt;=설정!$B$4)*실적!$D$5:$O$204))</f>
        <v/>
      </c>
      <c r="K133" s="9" t="str">
        <f aca="false">IF($A133="","",J133-I133)</f>
        <v/>
      </c>
      <c r="L133" s="10" t="str">
        <f aca="false">IF($A133="","",IF(I133=0,"n/a",K133/ABS(I133)))</f>
        <v/>
      </c>
      <c r="M133" s="11" t="str">
        <f aca="false">IF($A133="","",IF(K133=0,"-",IF((C133="매출")=(K133&gt;0),"유리","불리")))</f>
        <v/>
      </c>
      <c r="N133" s="18" t="str">
        <f aca="false">IF($A133="","",IF(AND(ABS(F133)&gt;=설정!$B$5,OR(D133=0,ABS(IF(D133=0,0,F133/D133))&gt;=설정!$B$6)),"●",""))</f>
        <v/>
      </c>
      <c r="O133" s="31"/>
      <c r="P133" s="44" t="str">
        <f aca="false">IF($A133="","",IF(N133="","",B133&amp;": 당월 실적 "&amp;TEXT(E133,"#,##0")&amp;설정!$B$7&amp;"으로 예산 대비 "&amp;TEXT(ABS(F133),"#,##0")&amp;설정!$B$7&amp;"("&amp;IF(D133=0,"예산 없음",TEXT(ABS(G133),"0.0%"))&amp;") "&amp;IF(C133="매출",IF(F133&gt;0,"상회","하회"),IF(F133&gt;0,"초과","절감"))&amp;" ["&amp;H133&amp;"]. 원인: "&amp;IF(O133="","___",O133)))</f>
        <v/>
      </c>
      <c r="Q133" s="45" t="str">
        <f aca="false">IF($A133="","",IF(N133="●",ABS(F133)+ROW()/1000000,0))</f>
        <v/>
      </c>
    </row>
    <row r="134" customFormat="false" ht="15" hidden="false" customHeight="false" outlineLevel="0" collapsed="false">
      <c r="A134" s="43" t="str">
        <f aca="false">IF(예산!A134="","",예산!A134)</f>
        <v/>
      </c>
      <c r="B134" s="43" t="str">
        <f aca="false">IF(예산!B134="","",예산!B134)</f>
        <v/>
      </c>
      <c r="C134" s="43" t="str">
        <f aca="false">IF(예산!C134="","",예산!C134)</f>
        <v/>
      </c>
      <c r="D134" s="9" t="str">
        <f aca="false">IF($A134="","",SUMIFS(INDEX(예산!$D$5:$O$204,0,설정!$B$4),예산!$A$5:$A$204,$A134))</f>
        <v/>
      </c>
      <c r="E134" s="9" t="str">
        <f aca="false">IF($A134="","",SUMIFS(INDEX(실적!$D$5:$O$204,0,설정!$B$4),실적!$A$5:$A$204,$A134))</f>
        <v/>
      </c>
      <c r="F134" s="9" t="str">
        <f aca="false">IF($A134="","",E134-D134)</f>
        <v/>
      </c>
      <c r="G134" s="10" t="str">
        <f aca="false">IF($A134="","",IF(D134=0,"n/a",F134/ABS(D134)))</f>
        <v/>
      </c>
      <c r="H134" s="11" t="str">
        <f aca="false">IF($A134="","",IF(F134=0,"-",IF((C134="매출")=(F134&gt;0),"유리","불리")))</f>
        <v/>
      </c>
      <c r="I134" s="9" t="str">
        <f aca="false">IF($A134="","",SUMPRODUCT((예산!$A$5:$A$204=$A134)*(COLUMN(예산!$D$4:$O$4)-COLUMN(예산!$D$4)+1&lt;=설정!$B$4)*예산!$D$5:$O$204))</f>
        <v/>
      </c>
      <c r="J134" s="9" t="str">
        <f aca="false">IF($A134="","",SUMPRODUCT((실적!$A$5:$A$204=$A134)*(COLUMN(실적!$D$4:$O$4)-COLUMN(실적!$D$4)+1&lt;=설정!$B$4)*실적!$D$5:$O$204))</f>
        <v/>
      </c>
      <c r="K134" s="9" t="str">
        <f aca="false">IF($A134="","",J134-I134)</f>
        <v/>
      </c>
      <c r="L134" s="10" t="str">
        <f aca="false">IF($A134="","",IF(I134=0,"n/a",K134/ABS(I134)))</f>
        <v/>
      </c>
      <c r="M134" s="11" t="str">
        <f aca="false">IF($A134="","",IF(K134=0,"-",IF((C134="매출")=(K134&gt;0),"유리","불리")))</f>
        <v/>
      </c>
      <c r="N134" s="18" t="str">
        <f aca="false">IF($A134="","",IF(AND(ABS(F134)&gt;=설정!$B$5,OR(D134=0,ABS(IF(D134=0,0,F134/D134))&gt;=설정!$B$6)),"●",""))</f>
        <v/>
      </c>
      <c r="O134" s="31"/>
      <c r="P134" s="44" t="str">
        <f aca="false">IF($A134="","",IF(N134="","",B134&amp;": 당월 실적 "&amp;TEXT(E134,"#,##0")&amp;설정!$B$7&amp;"으로 예산 대비 "&amp;TEXT(ABS(F134),"#,##0")&amp;설정!$B$7&amp;"("&amp;IF(D134=0,"예산 없음",TEXT(ABS(G134),"0.0%"))&amp;") "&amp;IF(C134="매출",IF(F134&gt;0,"상회","하회"),IF(F134&gt;0,"초과","절감"))&amp;" ["&amp;H134&amp;"]. 원인: "&amp;IF(O134="","___",O134)))</f>
        <v/>
      </c>
      <c r="Q134" s="45" t="str">
        <f aca="false">IF($A134="","",IF(N134="●",ABS(F134)+ROW()/1000000,0))</f>
        <v/>
      </c>
    </row>
    <row r="135" customFormat="false" ht="15" hidden="false" customHeight="false" outlineLevel="0" collapsed="false">
      <c r="A135" s="43" t="str">
        <f aca="false">IF(예산!A135="","",예산!A135)</f>
        <v/>
      </c>
      <c r="B135" s="43" t="str">
        <f aca="false">IF(예산!B135="","",예산!B135)</f>
        <v/>
      </c>
      <c r="C135" s="43" t="str">
        <f aca="false">IF(예산!C135="","",예산!C135)</f>
        <v/>
      </c>
      <c r="D135" s="9" t="str">
        <f aca="false">IF($A135="","",SUMIFS(INDEX(예산!$D$5:$O$204,0,설정!$B$4),예산!$A$5:$A$204,$A135))</f>
        <v/>
      </c>
      <c r="E135" s="9" t="str">
        <f aca="false">IF($A135="","",SUMIFS(INDEX(실적!$D$5:$O$204,0,설정!$B$4),실적!$A$5:$A$204,$A135))</f>
        <v/>
      </c>
      <c r="F135" s="9" t="str">
        <f aca="false">IF($A135="","",E135-D135)</f>
        <v/>
      </c>
      <c r="G135" s="10" t="str">
        <f aca="false">IF($A135="","",IF(D135=0,"n/a",F135/ABS(D135)))</f>
        <v/>
      </c>
      <c r="H135" s="11" t="str">
        <f aca="false">IF($A135="","",IF(F135=0,"-",IF((C135="매출")=(F135&gt;0),"유리","불리")))</f>
        <v/>
      </c>
      <c r="I135" s="9" t="str">
        <f aca="false">IF($A135="","",SUMPRODUCT((예산!$A$5:$A$204=$A135)*(COLUMN(예산!$D$4:$O$4)-COLUMN(예산!$D$4)+1&lt;=설정!$B$4)*예산!$D$5:$O$204))</f>
        <v/>
      </c>
      <c r="J135" s="9" t="str">
        <f aca="false">IF($A135="","",SUMPRODUCT((실적!$A$5:$A$204=$A135)*(COLUMN(실적!$D$4:$O$4)-COLUMN(실적!$D$4)+1&lt;=설정!$B$4)*실적!$D$5:$O$204))</f>
        <v/>
      </c>
      <c r="K135" s="9" t="str">
        <f aca="false">IF($A135="","",J135-I135)</f>
        <v/>
      </c>
      <c r="L135" s="10" t="str">
        <f aca="false">IF($A135="","",IF(I135=0,"n/a",K135/ABS(I135)))</f>
        <v/>
      </c>
      <c r="M135" s="11" t="str">
        <f aca="false">IF($A135="","",IF(K135=0,"-",IF((C135="매출")=(K135&gt;0),"유리","불리")))</f>
        <v/>
      </c>
      <c r="N135" s="18" t="str">
        <f aca="false">IF($A135="","",IF(AND(ABS(F135)&gt;=설정!$B$5,OR(D135=0,ABS(IF(D135=0,0,F135/D135))&gt;=설정!$B$6)),"●",""))</f>
        <v/>
      </c>
      <c r="O135" s="31"/>
      <c r="P135" s="44" t="str">
        <f aca="false">IF($A135="","",IF(N135="","",B135&amp;": 당월 실적 "&amp;TEXT(E135,"#,##0")&amp;설정!$B$7&amp;"으로 예산 대비 "&amp;TEXT(ABS(F135),"#,##0")&amp;설정!$B$7&amp;"("&amp;IF(D135=0,"예산 없음",TEXT(ABS(G135),"0.0%"))&amp;") "&amp;IF(C135="매출",IF(F135&gt;0,"상회","하회"),IF(F135&gt;0,"초과","절감"))&amp;" ["&amp;H135&amp;"]. 원인: "&amp;IF(O135="","___",O135)))</f>
        <v/>
      </c>
      <c r="Q135" s="45" t="str">
        <f aca="false">IF($A135="","",IF(N135="●",ABS(F135)+ROW()/1000000,0))</f>
        <v/>
      </c>
    </row>
    <row r="136" customFormat="false" ht="15" hidden="false" customHeight="false" outlineLevel="0" collapsed="false">
      <c r="A136" s="43" t="str">
        <f aca="false">IF(예산!A136="","",예산!A136)</f>
        <v/>
      </c>
      <c r="B136" s="43" t="str">
        <f aca="false">IF(예산!B136="","",예산!B136)</f>
        <v/>
      </c>
      <c r="C136" s="43" t="str">
        <f aca="false">IF(예산!C136="","",예산!C136)</f>
        <v/>
      </c>
      <c r="D136" s="9" t="str">
        <f aca="false">IF($A136="","",SUMIFS(INDEX(예산!$D$5:$O$204,0,설정!$B$4),예산!$A$5:$A$204,$A136))</f>
        <v/>
      </c>
      <c r="E136" s="9" t="str">
        <f aca="false">IF($A136="","",SUMIFS(INDEX(실적!$D$5:$O$204,0,설정!$B$4),실적!$A$5:$A$204,$A136))</f>
        <v/>
      </c>
      <c r="F136" s="9" t="str">
        <f aca="false">IF($A136="","",E136-D136)</f>
        <v/>
      </c>
      <c r="G136" s="10" t="str">
        <f aca="false">IF($A136="","",IF(D136=0,"n/a",F136/ABS(D136)))</f>
        <v/>
      </c>
      <c r="H136" s="11" t="str">
        <f aca="false">IF($A136="","",IF(F136=0,"-",IF((C136="매출")=(F136&gt;0),"유리","불리")))</f>
        <v/>
      </c>
      <c r="I136" s="9" t="str">
        <f aca="false">IF($A136="","",SUMPRODUCT((예산!$A$5:$A$204=$A136)*(COLUMN(예산!$D$4:$O$4)-COLUMN(예산!$D$4)+1&lt;=설정!$B$4)*예산!$D$5:$O$204))</f>
        <v/>
      </c>
      <c r="J136" s="9" t="str">
        <f aca="false">IF($A136="","",SUMPRODUCT((실적!$A$5:$A$204=$A136)*(COLUMN(실적!$D$4:$O$4)-COLUMN(실적!$D$4)+1&lt;=설정!$B$4)*실적!$D$5:$O$204))</f>
        <v/>
      </c>
      <c r="K136" s="9" t="str">
        <f aca="false">IF($A136="","",J136-I136)</f>
        <v/>
      </c>
      <c r="L136" s="10" t="str">
        <f aca="false">IF($A136="","",IF(I136=0,"n/a",K136/ABS(I136)))</f>
        <v/>
      </c>
      <c r="M136" s="11" t="str">
        <f aca="false">IF($A136="","",IF(K136=0,"-",IF((C136="매출")=(K136&gt;0),"유리","불리")))</f>
        <v/>
      </c>
      <c r="N136" s="18" t="str">
        <f aca="false">IF($A136="","",IF(AND(ABS(F136)&gt;=설정!$B$5,OR(D136=0,ABS(IF(D136=0,0,F136/D136))&gt;=설정!$B$6)),"●",""))</f>
        <v/>
      </c>
      <c r="O136" s="31"/>
      <c r="P136" s="44" t="str">
        <f aca="false">IF($A136="","",IF(N136="","",B136&amp;": 당월 실적 "&amp;TEXT(E136,"#,##0")&amp;설정!$B$7&amp;"으로 예산 대비 "&amp;TEXT(ABS(F136),"#,##0")&amp;설정!$B$7&amp;"("&amp;IF(D136=0,"예산 없음",TEXT(ABS(G136),"0.0%"))&amp;") "&amp;IF(C136="매출",IF(F136&gt;0,"상회","하회"),IF(F136&gt;0,"초과","절감"))&amp;" ["&amp;H136&amp;"]. 원인: "&amp;IF(O136="","___",O136)))</f>
        <v/>
      </c>
      <c r="Q136" s="45" t="str">
        <f aca="false">IF($A136="","",IF(N136="●",ABS(F136)+ROW()/1000000,0))</f>
        <v/>
      </c>
    </row>
    <row r="137" customFormat="false" ht="15" hidden="false" customHeight="false" outlineLevel="0" collapsed="false">
      <c r="A137" s="43" t="str">
        <f aca="false">IF(예산!A137="","",예산!A137)</f>
        <v/>
      </c>
      <c r="B137" s="43" t="str">
        <f aca="false">IF(예산!B137="","",예산!B137)</f>
        <v/>
      </c>
      <c r="C137" s="43" t="str">
        <f aca="false">IF(예산!C137="","",예산!C137)</f>
        <v/>
      </c>
      <c r="D137" s="9" t="str">
        <f aca="false">IF($A137="","",SUMIFS(INDEX(예산!$D$5:$O$204,0,설정!$B$4),예산!$A$5:$A$204,$A137))</f>
        <v/>
      </c>
      <c r="E137" s="9" t="str">
        <f aca="false">IF($A137="","",SUMIFS(INDEX(실적!$D$5:$O$204,0,설정!$B$4),실적!$A$5:$A$204,$A137))</f>
        <v/>
      </c>
      <c r="F137" s="9" t="str">
        <f aca="false">IF($A137="","",E137-D137)</f>
        <v/>
      </c>
      <c r="G137" s="10" t="str">
        <f aca="false">IF($A137="","",IF(D137=0,"n/a",F137/ABS(D137)))</f>
        <v/>
      </c>
      <c r="H137" s="11" t="str">
        <f aca="false">IF($A137="","",IF(F137=0,"-",IF((C137="매출")=(F137&gt;0),"유리","불리")))</f>
        <v/>
      </c>
      <c r="I137" s="9" t="str">
        <f aca="false">IF($A137="","",SUMPRODUCT((예산!$A$5:$A$204=$A137)*(COLUMN(예산!$D$4:$O$4)-COLUMN(예산!$D$4)+1&lt;=설정!$B$4)*예산!$D$5:$O$204))</f>
        <v/>
      </c>
      <c r="J137" s="9" t="str">
        <f aca="false">IF($A137="","",SUMPRODUCT((실적!$A$5:$A$204=$A137)*(COLUMN(실적!$D$4:$O$4)-COLUMN(실적!$D$4)+1&lt;=설정!$B$4)*실적!$D$5:$O$204))</f>
        <v/>
      </c>
      <c r="K137" s="9" t="str">
        <f aca="false">IF($A137="","",J137-I137)</f>
        <v/>
      </c>
      <c r="L137" s="10" t="str">
        <f aca="false">IF($A137="","",IF(I137=0,"n/a",K137/ABS(I137)))</f>
        <v/>
      </c>
      <c r="M137" s="11" t="str">
        <f aca="false">IF($A137="","",IF(K137=0,"-",IF((C137="매출")=(K137&gt;0),"유리","불리")))</f>
        <v/>
      </c>
      <c r="N137" s="18" t="str">
        <f aca="false">IF($A137="","",IF(AND(ABS(F137)&gt;=설정!$B$5,OR(D137=0,ABS(IF(D137=0,0,F137/D137))&gt;=설정!$B$6)),"●",""))</f>
        <v/>
      </c>
      <c r="O137" s="31"/>
      <c r="P137" s="44" t="str">
        <f aca="false">IF($A137="","",IF(N137="","",B137&amp;": 당월 실적 "&amp;TEXT(E137,"#,##0")&amp;설정!$B$7&amp;"으로 예산 대비 "&amp;TEXT(ABS(F137),"#,##0")&amp;설정!$B$7&amp;"("&amp;IF(D137=0,"예산 없음",TEXT(ABS(G137),"0.0%"))&amp;") "&amp;IF(C137="매출",IF(F137&gt;0,"상회","하회"),IF(F137&gt;0,"초과","절감"))&amp;" ["&amp;H137&amp;"]. 원인: "&amp;IF(O137="","___",O137)))</f>
        <v/>
      </c>
      <c r="Q137" s="45" t="str">
        <f aca="false">IF($A137="","",IF(N137="●",ABS(F137)+ROW()/1000000,0))</f>
        <v/>
      </c>
    </row>
    <row r="138" customFormat="false" ht="15" hidden="false" customHeight="false" outlineLevel="0" collapsed="false">
      <c r="A138" s="43" t="str">
        <f aca="false">IF(예산!A138="","",예산!A138)</f>
        <v/>
      </c>
      <c r="B138" s="43" t="str">
        <f aca="false">IF(예산!B138="","",예산!B138)</f>
        <v/>
      </c>
      <c r="C138" s="43" t="str">
        <f aca="false">IF(예산!C138="","",예산!C138)</f>
        <v/>
      </c>
      <c r="D138" s="9" t="str">
        <f aca="false">IF($A138="","",SUMIFS(INDEX(예산!$D$5:$O$204,0,설정!$B$4),예산!$A$5:$A$204,$A138))</f>
        <v/>
      </c>
      <c r="E138" s="9" t="str">
        <f aca="false">IF($A138="","",SUMIFS(INDEX(실적!$D$5:$O$204,0,설정!$B$4),실적!$A$5:$A$204,$A138))</f>
        <v/>
      </c>
      <c r="F138" s="9" t="str">
        <f aca="false">IF($A138="","",E138-D138)</f>
        <v/>
      </c>
      <c r="G138" s="10" t="str">
        <f aca="false">IF($A138="","",IF(D138=0,"n/a",F138/ABS(D138)))</f>
        <v/>
      </c>
      <c r="H138" s="11" t="str">
        <f aca="false">IF($A138="","",IF(F138=0,"-",IF((C138="매출")=(F138&gt;0),"유리","불리")))</f>
        <v/>
      </c>
      <c r="I138" s="9" t="str">
        <f aca="false">IF($A138="","",SUMPRODUCT((예산!$A$5:$A$204=$A138)*(COLUMN(예산!$D$4:$O$4)-COLUMN(예산!$D$4)+1&lt;=설정!$B$4)*예산!$D$5:$O$204))</f>
        <v/>
      </c>
      <c r="J138" s="9" t="str">
        <f aca="false">IF($A138="","",SUMPRODUCT((실적!$A$5:$A$204=$A138)*(COLUMN(실적!$D$4:$O$4)-COLUMN(실적!$D$4)+1&lt;=설정!$B$4)*실적!$D$5:$O$204))</f>
        <v/>
      </c>
      <c r="K138" s="9" t="str">
        <f aca="false">IF($A138="","",J138-I138)</f>
        <v/>
      </c>
      <c r="L138" s="10" t="str">
        <f aca="false">IF($A138="","",IF(I138=0,"n/a",K138/ABS(I138)))</f>
        <v/>
      </c>
      <c r="M138" s="11" t="str">
        <f aca="false">IF($A138="","",IF(K138=0,"-",IF((C138="매출")=(K138&gt;0),"유리","불리")))</f>
        <v/>
      </c>
      <c r="N138" s="18" t="str">
        <f aca="false">IF($A138="","",IF(AND(ABS(F138)&gt;=설정!$B$5,OR(D138=0,ABS(IF(D138=0,0,F138/D138))&gt;=설정!$B$6)),"●",""))</f>
        <v/>
      </c>
      <c r="O138" s="31"/>
      <c r="P138" s="44" t="str">
        <f aca="false">IF($A138="","",IF(N138="","",B138&amp;": 당월 실적 "&amp;TEXT(E138,"#,##0")&amp;설정!$B$7&amp;"으로 예산 대비 "&amp;TEXT(ABS(F138),"#,##0")&amp;설정!$B$7&amp;"("&amp;IF(D138=0,"예산 없음",TEXT(ABS(G138),"0.0%"))&amp;") "&amp;IF(C138="매출",IF(F138&gt;0,"상회","하회"),IF(F138&gt;0,"초과","절감"))&amp;" ["&amp;H138&amp;"]. 원인: "&amp;IF(O138="","___",O138)))</f>
        <v/>
      </c>
      <c r="Q138" s="45" t="str">
        <f aca="false">IF($A138="","",IF(N138="●",ABS(F138)+ROW()/1000000,0))</f>
        <v/>
      </c>
    </row>
    <row r="139" customFormat="false" ht="15" hidden="false" customHeight="false" outlineLevel="0" collapsed="false">
      <c r="A139" s="43" t="str">
        <f aca="false">IF(예산!A139="","",예산!A139)</f>
        <v/>
      </c>
      <c r="B139" s="43" t="str">
        <f aca="false">IF(예산!B139="","",예산!B139)</f>
        <v/>
      </c>
      <c r="C139" s="43" t="str">
        <f aca="false">IF(예산!C139="","",예산!C139)</f>
        <v/>
      </c>
      <c r="D139" s="9" t="str">
        <f aca="false">IF($A139="","",SUMIFS(INDEX(예산!$D$5:$O$204,0,설정!$B$4),예산!$A$5:$A$204,$A139))</f>
        <v/>
      </c>
      <c r="E139" s="9" t="str">
        <f aca="false">IF($A139="","",SUMIFS(INDEX(실적!$D$5:$O$204,0,설정!$B$4),실적!$A$5:$A$204,$A139))</f>
        <v/>
      </c>
      <c r="F139" s="9" t="str">
        <f aca="false">IF($A139="","",E139-D139)</f>
        <v/>
      </c>
      <c r="G139" s="10" t="str">
        <f aca="false">IF($A139="","",IF(D139=0,"n/a",F139/ABS(D139)))</f>
        <v/>
      </c>
      <c r="H139" s="11" t="str">
        <f aca="false">IF($A139="","",IF(F139=0,"-",IF((C139="매출")=(F139&gt;0),"유리","불리")))</f>
        <v/>
      </c>
      <c r="I139" s="9" t="str">
        <f aca="false">IF($A139="","",SUMPRODUCT((예산!$A$5:$A$204=$A139)*(COLUMN(예산!$D$4:$O$4)-COLUMN(예산!$D$4)+1&lt;=설정!$B$4)*예산!$D$5:$O$204))</f>
        <v/>
      </c>
      <c r="J139" s="9" t="str">
        <f aca="false">IF($A139="","",SUMPRODUCT((실적!$A$5:$A$204=$A139)*(COLUMN(실적!$D$4:$O$4)-COLUMN(실적!$D$4)+1&lt;=설정!$B$4)*실적!$D$5:$O$204))</f>
        <v/>
      </c>
      <c r="K139" s="9" t="str">
        <f aca="false">IF($A139="","",J139-I139)</f>
        <v/>
      </c>
      <c r="L139" s="10" t="str">
        <f aca="false">IF($A139="","",IF(I139=0,"n/a",K139/ABS(I139)))</f>
        <v/>
      </c>
      <c r="M139" s="11" t="str">
        <f aca="false">IF($A139="","",IF(K139=0,"-",IF((C139="매출")=(K139&gt;0),"유리","불리")))</f>
        <v/>
      </c>
      <c r="N139" s="18" t="str">
        <f aca="false">IF($A139="","",IF(AND(ABS(F139)&gt;=설정!$B$5,OR(D139=0,ABS(IF(D139=0,0,F139/D139))&gt;=설정!$B$6)),"●",""))</f>
        <v/>
      </c>
      <c r="O139" s="31"/>
      <c r="P139" s="44" t="str">
        <f aca="false">IF($A139="","",IF(N139="","",B139&amp;": 당월 실적 "&amp;TEXT(E139,"#,##0")&amp;설정!$B$7&amp;"으로 예산 대비 "&amp;TEXT(ABS(F139),"#,##0")&amp;설정!$B$7&amp;"("&amp;IF(D139=0,"예산 없음",TEXT(ABS(G139),"0.0%"))&amp;") "&amp;IF(C139="매출",IF(F139&gt;0,"상회","하회"),IF(F139&gt;0,"초과","절감"))&amp;" ["&amp;H139&amp;"]. 원인: "&amp;IF(O139="","___",O139)))</f>
        <v/>
      </c>
      <c r="Q139" s="45" t="str">
        <f aca="false">IF($A139="","",IF(N139="●",ABS(F139)+ROW()/1000000,0))</f>
        <v/>
      </c>
    </row>
    <row r="140" customFormat="false" ht="15" hidden="false" customHeight="false" outlineLevel="0" collapsed="false">
      <c r="A140" s="43" t="str">
        <f aca="false">IF(예산!A140="","",예산!A140)</f>
        <v/>
      </c>
      <c r="B140" s="43" t="str">
        <f aca="false">IF(예산!B140="","",예산!B140)</f>
        <v/>
      </c>
      <c r="C140" s="43" t="str">
        <f aca="false">IF(예산!C140="","",예산!C140)</f>
        <v/>
      </c>
      <c r="D140" s="9" t="str">
        <f aca="false">IF($A140="","",SUMIFS(INDEX(예산!$D$5:$O$204,0,설정!$B$4),예산!$A$5:$A$204,$A140))</f>
        <v/>
      </c>
      <c r="E140" s="9" t="str">
        <f aca="false">IF($A140="","",SUMIFS(INDEX(실적!$D$5:$O$204,0,설정!$B$4),실적!$A$5:$A$204,$A140))</f>
        <v/>
      </c>
      <c r="F140" s="9" t="str">
        <f aca="false">IF($A140="","",E140-D140)</f>
        <v/>
      </c>
      <c r="G140" s="10" t="str">
        <f aca="false">IF($A140="","",IF(D140=0,"n/a",F140/ABS(D140)))</f>
        <v/>
      </c>
      <c r="H140" s="11" t="str">
        <f aca="false">IF($A140="","",IF(F140=0,"-",IF((C140="매출")=(F140&gt;0),"유리","불리")))</f>
        <v/>
      </c>
      <c r="I140" s="9" t="str">
        <f aca="false">IF($A140="","",SUMPRODUCT((예산!$A$5:$A$204=$A140)*(COLUMN(예산!$D$4:$O$4)-COLUMN(예산!$D$4)+1&lt;=설정!$B$4)*예산!$D$5:$O$204))</f>
        <v/>
      </c>
      <c r="J140" s="9" t="str">
        <f aca="false">IF($A140="","",SUMPRODUCT((실적!$A$5:$A$204=$A140)*(COLUMN(실적!$D$4:$O$4)-COLUMN(실적!$D$4)+1&lt;=설정!$B$4)*실적!$D$5:$O$204))</f>
        <v/>
      </c>
      <c r="K140" s="9" t="str">
        <f aca="false">IF($A140="","",J140-I140)</f>
        <v/>
      </c>
      <c r="L140" s="10" t="str">
        <f aca="false">IF($A140="","",IF(I140=0,"n/a",K140/ABS(I140)))</f>
        <v/>
      </c>
      <c r="M140" s="11" t="str">
        <f aca="false">IF($A140="","",IF(K140=0,"-",IF((C140="매출")=(K140&gt;0),"유리","불리")))</f>
        <v/>
      </c>
      <c r="N140" s="18" t="str">
        <f aca="false">IF($A140="","",IF(AND(ABS(F140)&gt;=설정!$B$5,OR(D140=0,ABS(IF(D140=0,0,F140/D140))&gt;=설정!$B$6)),"●",""))</f>
        <v/>
      </c>
      <c r="O140" s="31"/>
      <c r="P140" s="44" t="str">
        <f aca="false">IF($A140="","",IF(N140="","",B140&amp;": 당월 실적 "&amp;TEXT(E140,"#,##0")&amp;설정!$B$7&amp;"으로 예산 대비 "&amp;TEXT(ABS(F140),"#,##0")&amp;설정!$B$7&amp;"("&amp;IF(D140=0,"예산 없음",TEXT(ABS(G140),"0.0%"))&amp;") "&amp;IF(C140="매출",IF(F140&gt;0,"상회","하회"),IF(F140&gt;0,"초과","절감"))&amp;" ["&amp;H140&amp;"]. 원인: "&amp;IF(O140="","___",O140)))</f>
        <v/>
      </c>
      <c r="Q140" s="45" t="str">
        <f aca="false">IF($A140="","",IF(N140="●",ABS(F140)+ROW()/1000000,0))</f>
        <v/>
      </c>
    </row>
    <row r="141" customFormat="false" ht="15" hidden="false" customHeight="false" outlineLevel="0" collapsed="false">
      <c r="A141" s="43" t="str">
        <f aca="false">IF(예산!A141="","",예산!A141)</f>
        <v/>
      </c>
      <c r="B141" s="43" t="str">
        <f aca="false">IF(예산!B141="","",예산!B141)</f>
        <v/>
      </c>
      <c r="C141" s="43" t="str">
        <f aca="false">IF(예산!C141="","",예산!C141)</f>
        <v/>
      </c>
      <c r="D141" s="9" t="str">
        <f aca="false">IF($A141="","",SUMIFS(INDEX(예산!$D$5:$O$204,0,설정!$B$4),예산!$A$5:$A$204,$A141))</f>
        <v/>
      </c>
      <c r="E141" s="9" t="str">
        <f aca="false">IF($A141="","",SUMIFS(INDEX(실적!$D$5:$O$204,0,설정!$B$4),실적!$A$5:$A$204,$A141))</f>
        <v/>
      </c>
      <c r="F141" s="9" t="str">
        <f aca="false">IF($A141="","",E141-D141)</f>
        <v/>
      </c>
      <c r="G141" s="10" t="str">
        <f aca="false">IF($A141="","",IF(D141=0,"n/a",F141/ABS(D141)))</f>
        <v/>
      </c>
      <c r="H141" s="11" t="str">
        <f aca="false">IF($A141="","",IF(F141=0,"-",IF((C141="매출")=(F141&gt;0),"유리","불리")))</f>
        <v/>
      </c>
      <c r="I141" s="9" t="str">
        <f aca="false">IF($A141="","",SUMPRODUCT((예산!$A$5:$A$204=$A141)*(COLUMN(예산!$D$4:$O$4)-COLUMN(예산!$D$4)+1&lt;=설정!$B$4)*예산!$D$5:$O$204))</f>
        <v/>
      </c>
      <c r="J141" s="9" t="str">
        <f aca="false">IF($A141="","",SUMPRODUCT((실적!$A$5:$A$204=$A141)*(COLUMN(실적!$D$4:$O$4)-COLUMN(실적!$D$4)+1&lt;=설정!$B$4)*실적!$D$5:$O$204))</f>
        <v/>
      </c>
      <c r="K141" s="9" t="str">
        <f aca="false">IF($A141="","",J141-I141)</f>
        <v/>
      </c>
      <c r="L141" s="10" t="str">
        <f aca="false">IF($A141="","",IF(I141=0,"n/a",K141/ABS(I141)))</f>
        <v/>
      </c>
      <c r="M141" s="11" t="str">
        <f aca="false">IF($A141="","",IF(K141=0,"-",IF((C141="매출")=(K141&gt;0),"유리","불리")))</f>
        <v/>
      </c>
      <c r="N141" s="18" t="str">
        <f aca="false">IF($A141="","",IF(AND(ABS(F141)&gt;=설정!$B$5,OR(D141=0,ABS(IF(D141=0,0,F141/D141))&gt;=설정!$B$6)),"●",""))</f>
        <v/>
      </c>
      <c r="O141" s="31"/>
      <c r="P141" s="44" t="str">
        <f aca="false">IF($A141="","",IF(N141="","",B141&amp;": 당월 실적 "&amp;TEXT(E141,"#,##0")&amp;설정!$B$7&amp;"으로 예산 대비 "&amp;TEXT(ABS(F141),"#,##0")&amp;설정!$B$7&amp;"("&amp;IF(D141=0,"예산 없음",TEXT(ABS(G141),"0.0%"))&amp;") "&amp;IF(C141="매출",IF(F141&gt;0,"상회","하회"),IF(F141&gt;0,"초과","절감"))&amp;" ["&amp;H141&amp;"]. 원인: "&amp;IF(O141="","___",O141)))</f>
        <v/>
      </c>
      <c r="Q141" s="45" t="str">
        <f aca="false">IF($A141="","",IF(N141="●",ABS(F141)+ROW()/1000000,0))</f>
        <v/>
      </c>
    </row>
    <row r="142" customFormat="false" ht="15" hidden="false" customHeight="false" outlineLevel="0" collapsed="false">
      <c r="A142" s="43" t="str">
        <f aca="false">IF(예산!A142="","",예산!A142)</f>
        <v/>
      </c>
      <c r="B142" s="43" t="str">
        <f aca="false">IF(예산!B142="","",예산!B142)</f>
        <v/>
      </c>
      <c r="C142" s="43" t="str">
        <f aca="false">IF(예산!C142="","",예산!C142)</f>
        <v/>
      </c>
      <c r="D142" s="9" t="str">
        <f aca="false">IF($A142="","",SUMIFS(INDEX(예산!$D$5:$O$204,0,설정!$B$4),예산!$A$5:$A$204,$A142))</f>
        <v/>
      </c>
      <c r="E142" s="9" t="str">
        <f aca="false">IF($A142="","",SUMIFS(INDEX(실적!$D$5:$O$204,0,설정!$B$4),실적!$A$5:$A$204,$A142))</f>
        <v/>
      </c>
      <c r="F142" s="9" t="str">
        <f aca="false">IF($A142="","",E142-D142)</f>
        <v/>
      </c>
      <c r="G142" s="10" t="str">
        <f aca="false">IF($A142="","",IF(D142=0,"n/a",F142/ABS(D142)))</f>
        <v/>
      </c>
      <c r="H142" s="11" t="str">
        <f aca="false">IF($A142="","",IF(F142=0,"-",IF((C142="매출")=(F142&gt;0),"유리","불리")))</f>
        <v/>
      </c>
      <c r="I142" s="9" t="str">
        <f aca="false">IF($A142="","",SUMPRODUCT((예산!$A$5:$A$204=$A142)*(COLUMN(예산!$D$4:$O$4)-COLUMN(예산!$D$4)+1&lt;=설정!$B$4)*예산!$D$5:$O$204))</f>
        <v/>
      </c>
      <c r="J142" s="9" t="str">
        <f aca="false">IF($A142="","",SUMPRODUCT((실적!$A$5:$A$204=$A142)*(COLUMN(실적!$D$4:$O$4)-COLUMN(실적!$D$4)+1&lt;=설정!$B$4)*실적!$D$5:$O$204))</f>
        <v/>
      </c>
      <c r="K142" s="9" t="str">
        <f aca="false">IF($A142="","",J142-I142)</f>
        <v/>
      </c>
      <c r="L142" s="10" t="str">
        <f aca="false">IF($A142="","",IF(I142=0,"n/a",K142/ABS(I142)))</f>
        <v/>
      </c>
      <c r="M142" s="11" t="str">
        <f aca="false">IF($A142="","",IF(K142=0,"-",IF((C142="매출")=(K142&gt;0),"유리","불리")))</f>
        <v/>
      </c>
      <c r="N142" s="18" t="str">
        <f aca="false">IF($A142="","",IF(AND(ABS(F142)&gt;=설정!$B$5,OR(D142=0,ABS(IF(D142=0,0,F142/D142))&gt;=설정!$B$6)),"●",""))</f>
        <v/>
      </c>
      <c r="O142" s="31"/>
      <c r="P142" s="44" t="str">
        <f aca="false">IF($A142="","",IF(N142="","",B142&amp;": 당월 실적 "&amp;TEXT(E142,"#,##0")&amp;설정!$B$7&amp;"으로 예산 대비 "&amp;TEXT(ABS(F142),"#,##0")&amp;설정!$B$7&amp;"("&amp;IF(D142=0,"예산 없음",TEXT(ABS(G142),"0.0%"))&amp;") "&amp;IF(C142="매출",IF(F142&gt;0,"상회","하회"),IF(F142&gt;0,"초과","절감"))&amp;" ["&amp;H142&amp;"]. 원인: "&amp;IF(O142="","___",O142)))</f>
        <v/>
      </c>
      <c r="Q142" s="45" t="str">
        <f aca="false">IF($A142="","",IF(N142="●",ABS(F142)+ROW()/1000000,0))</f>
        <v/>
      </c>
    </row>
    <row r="143" customFormat="false" ht="15" hidden="false" customHeight="false" outlineLevel="0" collapsed="false">
      <c r="A143" s="43" t="str">
        <f aca="false">IF(예산!A143="","",예산!A143)</f>
        <v/>
      </c>
      <c r="B143" s="43" t="str">
        <f aca="false">IF(예산!B143="","",예산!B143)</f>
        <v/>
      </c>
      <c r="C143" s="43" t="str">
        <f aca="false">IF(예산!C143="","",예산!C143)</f>
        <v/>
      </c>
      <c r="D143" s="9" t="str">
        <f aca="false">IF($A143="","",SUMIFS(INDEX(예산!$D$5:$O$204,0,설정!$B$4),예산!$A$5:$A$204,$A143))</f>
        <v/>
      </c>
      <c r="E143" s="9" t="str">
        <f aca="false">IF($A143="","",SUMIFS(INDEX(실적!$D$5:$O$204,0,설정!$B$4),실적!$A$5:$A$204,$A143))</f>
        <v/>
      </c>
      <c r="F143" s="9" t="str">
        <f aca="false">IF($A143="","",E143-D143)</f>
        <v/>
      </c>
      <c r="G143" s="10" t="str">
        <f aca="false">IF($A143="","",IF(D143=0,"n/a",F143/ABS(D143)))</f>
        <v/>
      </c>
      <c r="H143" s="11" t="str">
        <f aca="false">IF($A143="","",IF(F143=0,"-",IF((C143="매출")=(F143&gt;0),"유리","불리")))</f>
        <v/>
      </c>
      <c r="I143" s="9" t="str">
        <f aca="false">IF($A143="","",SUMPRODUCT((예산!$A$5:$A$204=$A143)*(COLUMN(예산!$D$4:$O$4)-COLUMN(예산!$D$4)+1&lt;=설정!$B$4)*예산!$D$5:$O$204))</f>
        <v/>
      </c>
      <c r="J143" s="9" t="str">
        <f aca="false">IF($A143="","",SUMPRODUCT((실적!$A$5:$A$204=$A143)*(COLUMN(실적!$D$4:$O$4)-COLUMN(실적!$D$4)+1&lt;=설정!$B$4)*실적!$D$5:$O$204))</f>
        <v/>
      </c>
      <c r="K143" s="9" t="str">
        <f aca="false">IF($A143="","",J143-I143)</f>
        <v/>
      </c>
      <c r="L143" s="10" t="str">
        <f aca="false">IF($A143="","",IF(I143=0,"n/a",K143/ABS(I143)))</f>
        <v/>
      </c>
      <c r="M143" s="11" t="str">
        <f aca="false">IF($A143="","",IF(K143=0,"-",IF((C143="매출")=(K143&gt;0),"유리","불리")))</f>
        <v/>
      </c>
      <c r="N143" s="18" t="str">
        <f aca="false">IF($A143="","",IF(AND(ABS(F143)&gt;=설정!$B$5,OR(D143=0,ABS(IF(D143=0,0,F143/D143))&gt;=설정!$B$6)),"●",""))</f>
        <v/>
      </c>
      <c r="O143" s="31"/>
      <c r="P143" s="44" t="str">
        <f aca="false">IF($A143="","",IF(N143="","",B143&amp;": 당월 실적 "&amp;TEXT(E143,"#,##0")&amp;설정!$B$7&amp;"으로 예산 대비 "&amp;TEXT(ABS(F143),"#,##0")&amp;설정!$B$7&amp;"("&amp;IF(D143=0,"예산 없음",TEXT(ABS(G143),"0.0%"))&amp;") "&amp;IF(C143="매출",IF(F143&gt;0,"상회","하회"),IF(F143&gt;0,"초과","절감"))&amp;" ["&amp;H143&amp;"]. 원인: "&amp;IF(O143="","___",O143)))</f>
        <v/>
      </c>
      <c r="Q143" s="45" t="str">
        <f aca="false">IF($A143="","",IF(N143="●",ABS(F143)+ROW()/1000000,0))</f>
        <v/>
      </c>
    </row>
    <row r="144" customFormat="false" ht="15" hidden="false" customHeight="false" outlineLevel="0" collapsed="false">
      <c r="A144" s="43" t="str">
        <f aca="false">IF(예산!A144="","",예산!A144)</f>
        <v/>
      </c>
      <c r="B144" s="43" t="str">
        <f aca="false">IF(예산!B144="","",예산!B144)</f>
        <v/>
      </c>
      <c r="C144" s="43" t="str">
        <f aca="false">IF(예산!C144="","",예산!C144)</f>
        <v/>
      </c>
      <c r="D144" s="9" t="str">
        <f aca="false">IF($A144="","",SUMIFS(INDEX(예산!$D$5:$O$204,0,설정!$B$4),예산!$A$5:$A$204,$A144))</f>
        <v/>
      </c>
      <c r="E144" s="9" t="str">
        <f aca="false">IF($A144="","",SUMIFS(INDEX(실적!$D$5:$O$204,0,설정!$B$4),실적!$A$5:$A$204,$A144))</f>
        <v/>
      </c>
      <c r="F144" s="9" t="str">
        <f aca="false">IF($A144="","",E144-D144)</f>
        <v/>
      </c>
      <c r="G144" s="10" t="str">
        <f aca="false">IF($A144="","",IF(D144=0,"n/a",F144/ABS(D144)))</f>
        <v/>
      </c>
      <c r="H144" s="11" t="str">
        <f aca="false">IF($A144="","",IF(F144=0,"-",IF((C144="매출")=(F144&gt;0),"유리","불리")))</f>
        <v/>
      </c>
      <c r="I144" s="9" t="str">
        <f aca="false">IF($A144="","",SUMPRODUCT((예산!$A$5:$A$204=$A144)*(COLUMN(예산!$D$4:$O$4)-COLUMN(예산!$D$4)+1&lt;=설정!$B$4)*예산!$D$5:$O$204))</f>
        <v/>
      </c>
      <c r="J144" s="9" t="str">
        <f aca="false">IF($A144="","",SUMPRODUCT((실적!$A$5:$A$204=$A144)*(COLUMN(실적!$D$4:$O$4)-COLUMN(실적!$D$4)+1&lt;=설정!$B$4)*실적!$D$5:$O$204))</f>
        <v/>
      </c>
      <c r="K144" s="9" t="str">
        <f aca="false">IF($A144="","",J144-I144)</f>
        <v/>
      </c>
      <c r="L144" s="10" t="str">
        <f aca="false">IF($A144="","",IF(I144=0,"n/a",K144/ABS(I144)))</f>
        <v/>
      </c>
      <c r="M144" s="11" t="str">
        <f aca="false">IF($A144="","",IF(K144=0,"-",IF((C144="매출")=(K144&gt;0),"유리","불리")))</f>
        <v/>
      </c>
      <c r="N144" s="18" t="str">
        <f aca="false">IF($A144="","",IF(AND(ABS(F144)&gt;=설정!$B$5,OR(D144=0,ABS(IF(D144=0,0,F144/D144))&gt;=설정!$B$6)),"●",""))</f>
        <v/>
      </c>
      <c r="O144" s="31"/>
      <c r="P144" s="44" t="str">
        <f aca="false">IF($A144="","",IF(N144="","",B144&amp;": 당월 실적 "&amp;TEXT(E144,"#,##0")&amp;설정!$B$7&amp;"으로 예산 대비 "&amp;TEXT(ABS(F144),"#,##0")&amp;설정!$B$7&amp;"("&amp;IF(D144=0,"예산 없음",TEXT(ABS(G144),"0.0%"))&amp;") "&amp;IF(C144="매출",IF(F144&gt;0,"상회","하회"),IF(F144&gt;0,"초과","절감"))&amp;" ["&amp;H144&amp;"]. 원인: "&amp;IF(O144="","___",O144)))</f>
        <v/>
      </c>
      <c r="Q144" s="45" t="str">
        <f aca="false">IF($A144="","",IF(N144="●",ABS(F144)+ROW()/1000000,0))</f>
        <v/>
      </c>
    </row>
    <row r="145" customFormat="false" ht="15" hidden="false" customHeight="false" outlineLevel="0" collapsed="false">
      <c r="A145" s="43" t="str">
        <f aca="false">IF(예산!A145="","",예산!A145)</f>
        <v/>
      </c>
      <c r="B145" s="43" t="str">
        <f aca="false">IF(예산!B145="","",예산!B145)</f>
        <v/>
      </c>
      <c r="C145" s="43" t="str">
        <f aca="false">IF(예산!C145="","",예산!C145)</f>
        <v/>
      </c>
      <c r="D145" s="9" t="str">
        <f aca="false">IF($A145="","",SUMIFS(INDEX(예산!$D$5:$O$204,0,설정!$B$4),예산!$A$5:$A$204,$A145))</f>
        <v/>
      </c>
      <c r="E145" s="9" t="str">
        <f aca="false">IF($A145="","",SUMIFS(INDEX(실적!$D$5:$O$204,0,설정!$B$4),실적!$A$5:$A$204,$A145))</f>
        <v/>
      </c>
      <c r="F145" s="9" t="str">
        <f aca="false">IF($A145="","",E145-D145)</f>
        <v/>
      </c>
      <c r="G145" s="10" t="str">
        <f aca="false">IF($A145="","",IF(D145=0,"n/a",F145/ABS(D145)))</f>
        <v/>
      </c>
      <c r="H145" s="11" t="str">
        <f aca="false">IF($A145="","",IF(F145=0,"-",IF((C145="매출")=(F145&gt;0),"유리","불리")))</f>
        <v/>
      </c>
      <c r="I145" s="9" t="str">
        <f aca="false">IF($A145="","",SUMPRODUCT((예산!$A$5:$A$204=$A145)*(COLUMN(예산!$D$4:$O$4)-COLUMN(예산!$D$4)+1&lt;=설정!$B$4)*예산!$D$5:$O$204))</f>
        <v/>
      </c>
      <c r="J145" s="9" t="str">
        <f aca="false">IF($A145="","",SUMPRODUCT((실적!$A$5:$A$204=$A145)*(COLUMN(실적!$D$4:$O$4)-COLUMN(실적!$D$4)+1&lt;=설정!$B$4)*실적!$D$5:$O$204))</f>
        <v/>
      </c>
      <c r="K145" s="9" t="str">
        <f aca="false">IF($A145="","",J145-I145)</f>
        <v/>
      </c>
      <c r="L145" s="10" t="str">
        <f aca="false">IF($A145="","",IF(I145=0,"n/a",K145/ABS(I145)))</f>
        <v/>
      </c>
      <c r="M145" s="11" t="str">
        <f aca="false">IF($A145="","",IF(K145=0,"-",IF((C145="매출")=(K145&gt;0),"유리","불리")))</f>
        <v/>
      </c>
      <c r="N145" s="18" t="str">
        <f aca="false">IF($A145="","",IF(AND(ABS(F145)&gt;=설정!$B$5,OR(D145=0,ABS(IF(D145=0,0,F145/D145))&gt;=설정!$B$6)),"●",""))</f>
        <v/>
      </c>
      <c r="O145" s="31"/>
      <c r="P145" s="44" t="str">
        <f aca="false">IF($A145="","",IF(N145="","",B145&amp;": 당월 실적 "&amp;TEXT(E145,"#,##0")&amp;설정!$B$7&amp;"으로 예산 대비 "&amp;TEXT(ABS(F145),"#,##0")&amp;설정!$B$7&amp;"("&amp;IF(D145=0,"예산 없음",TEXT(ABS(G145),"0.0%"))&amp;") "&amp;IF(C145="매출",IF(F145&gt;0,"상회","하회"),IF(F145&gt;0,"초과","절감"))&amp;" ["&amp;H145&amp;"]. 원인: "&amp;IF(O145="","___",O145)))</f>
        <v/>
      </c>
      <c r="Q145" s="45" t="str">
        <f aca="false">IF($A145="","",IF(N145="●",ABS(F145)+ROW()/1000000,0))</f>
        <v/>
      </c>
    </row>
    <row r="146" customFormat="false" ht="15" hidden="false" customHeight="false" outlineLevel="0" collapsed="false">
      <c r="A146" s="43" t="str">
        <f aca="false">IF(예산!A146="","",예산!A146)</f>
        <v/>
      </c>
      <c r="B146" s="43" t="str">
        <f aca="false">IF(예산!B146="","",예산!B146)</f>
        <v/>
      </c>
      <c r="C146" s="43" t="str">
        <f aca="false">IF(예산!C146="","",예산!C146)</f>
        <v/>
      </c>
      <c r="D146" s="9" t="str">
        <f aca="false">IF($A146="","",SUMIFS(INDEX(예산!$D$5:$O$204,0,설정!$B$4),예산!$A$5:$A$204,$A146))</f>
        <v/>
      </c>
      <c r="E146" s="9" t="str">
        <f aca="false">IF($A146="","",SUMIFS(INDEX(실적!$D$5:$O$204,0,설정!$B$4),실적!$A$5:$A$204,$A146))</f>
        <v/>
      </c>
      <c r="F146" s="9" t="str">
        <f aca="false">IF($A146="","",E146-D146)</f>
        <v/>
      </c>
      <c r="G146" s="10" t="str">
        <f aca="false">IF($A146="","",IF(D146=0,"n/a",F146/ABS(D146)))</f>
        <v/>
      </c>
      <c r="H146" s="11" t="str">
        <f aca="false">IF($A146="","",IF(F146=0,"-",IF((C146="매출")=(F146&gt;0),"유리","불리")))</f>
        <v/>
      </c>
      <c r="I146" s="9" t="str">
        <f aca="false">IF($A146="","",SUMPRODUCT((예산!$A$5:$A$204=$A146)*(COLUMN(예산!$D$4:$O$4)-COLUMN(예산!$D$4)+1&lt;=설정!$B$4)*예산!$D$5:$O$204))</f>
        <v/>
      </c>
      <c r="J146" s="9" t="str">
        <f aca="false">IF($A146="","",SUMPRODUCT((실적!$A$5:$A$204=$A146)*(COLUMN(실적!$D$4:$O$4)-COLUMN(실적!$D$4)+1&lt;=설정!$B$4)*실적!$D$5:$O$204))</f>
        <v/>
      </c>
      <c r="K146" s="9" t="str">
        <f aca="false">IF($A146="","",J146-I146)</f>
        <v/>
      </c>
      <c r="L146" s="10" t="str">
        <f aca="false">IF($A146="","",IF(I146=0,"n/a",K146/ABS(I146)))</f>
        <v/>
      </c>
      <c r="M146" s="11" t="str">
        <f aca="false">IF($A146="","",IF(K146=0,"-",IF((C146="매출")=(K146&gt;0),"유리","불리")))</f>
        <v/>
      </c>
      <c r="N146" s="18" t="str">
        <f aca="false">IF($A146="","",IF(AND(ABS(F146)&gt;=설정!$B$5,OR(D146=0,ABS(IF(D146=0,0,F146/D146))&gt;=설정!$B$6)),"●",""))</f>
        <v/>
      </c>
      <c r="O146" s="31"/>
      <c r="P146" s="44" t="str">
        <f aca="false">IF($A146="","",IF(N146="","",B146&amp;": 당월 실적 "&amp;TEXT(E146,"#,##0")&amp;설정!$B$7&amp;"으로 예산 대비 "&amp;TEXT(ABS(F146),"#,##0")&amp;설정!$B$7&amp;"("&amp;IF(D146=0,"예산 없음",TEXT(ABS(G146),"0.0%"))&amp;") "&amp;IF(C146="매출",IF(F146&gt;0,"상회","하회"),IF(F146&gt;0,"초과","절감"))&amp;" ["&amp;H146&amp;"]. 원인: "&amp;IF(O146="","___",O146)))</f>
        <v/>
      </c>
      <c r="Q146" s="45" t="str">
        <f aca="false">IF($A146="","",IF(N146="●",ABS(F146)+ROW()/1000000,0))</f>
        <v/>
      </c>
    </row>
    <row r="147" customFormat="false" ht="15" hidden="false" customHeight="false" outlineLevel="0" collapsed="false">
      <c r="A147" s="43" t="str">
        <f aca="false">IF(예산!A147="","",예산!A147)</f>
        <v/>
      </c>
      <c r="B147" s="43" t="str">
        <f aca="false">IF(예산!B147="","",예산!B147)</f>
        <v/>
      </c>
      <c r="C147" s="43" t="str">
        <f aca="false">IF(예산!C147="","",예산!C147)</f>
        <v/>
      </c>
      <c r="D147" s="9" t="str">
        <f aca="false">IF($A147="","",SUMIFS(INDEX(예산!$D$5:$O$204,0,설정!$B$4),예산!$A$5:$A$204,$A147))</f>
        <v/>
      </c>
      <c r="E147" s="9" t="str">
        <f aca="false">IF($A147="","",SUMIFS(INDEX(실적!$D$5:$O$204,0,설정!$B$4),실적!$A$5:$A$204,$A147))</f>
        <v/>
      </c>
      <c r="F147" s="9" t="str">
        <f aca="false">IF($A147="","",E147-D147)</f>
        <v/>
      </c>
      <c r="G147" s="10" t="str">
        <f aca="false">IF($A147="","",IF(D147=0,"n/a",F147/ABS(D147)))</f>
        <v/>
      </c>
      <c r="H147" s="11" t="str">
        <f aca="false">IF($A147="","",IF(F147=0,"-",IF((C147="매출")=(F147&gt;0),"유리","불리")))</f>
        <v/>
      </c>
      <c r="I147" s="9" t="str">
        <f aca="false">IF($A147="","",SUMPRODUCT((예산!$A$5:$A$204=$A147)*(COLUMN(예산!$D$4:$O$4)-COLUMN(예산!$D$4)+1&lt;=설정!$B$4)*예산!$D$5:$O$204))</f>
        <v/>
      </c>
      <c r="J147" s="9" t="str">
        <f aca="false">IF($A147="","",SUMPRODUCT((실적!$A$5:$A$204=$A147)*(COLUMN(실적!$D$4:$O$4)-COLUMN(실적!$D$4)+1&lt;=설정!$B$4)*실적!$D$5:$O$204))</f>
        <v/>
      </c>
      <c r="K147" s="9" t="str">
        <f aca="false">IF($A147="","",J147-I147)</f>
        <v/>
      </c>
      <c r="L147" s="10" t="str">
        <f aca="false">IF($A147="","",IF(I147=0,"n/a",K147/ABS(I147)))</f>
        <v/>
      </c>
      <c r="M147" s="11" t="str">
        <f aca="false">IF($A147="","",IF(K147=0,"-",IF((C147="매출")=(K147&gt;0),"유리","불리")))</f>
        <v/>
      </c>
      <c r="N147" s="18" t="str">
        <f aca="false">IF($A147="","",IF(AND(ABS(F147)&gt;=설정!$B$5,OR(D147=0,ABS(IF(D147=0,0,F147/D147))&gt;=설정!$B$6)),"●",""))</f>
        <v/>
      </c>
      <c r="O147" s="31"/>
      <c r="P147" s="44" t="str">
        <f aca="false">IF($A147="","",IF(N147="","",B147&amp;": 당월 실적 "&amp;TEXT(E147,"#,##0")&amp;설정!$B$7&amp;"으로 예산 대비 "&amp;TEXT(ABS(F147),"#,##0")&amp;설정!$B$7&amp;"("&amp;IF(D147=0,"예산 없음",TEXT(ABS(G147),"0.0%"))&amp;") "&amp;IF(C147="매출",IF(F147&gt;0,"상회","하회"),IF(F147&gt;0,"초과","절감"))&amp;" ["&amp;H147&amp;"]. 원인: "&amp;IF(O147="","___",O147)))</f>
        <v/>
      </c>
      <c r="Q147" s="45" t="str">
        <f aca="false">IF($A147="","",IF(N147="●",ABS(F147)+ROW()/1000000,0))</f>
        <v/>
      </c>
    </row>
    <row r="148" customFormat="false" ht="15" hidden="false" customHeight="false" outlineLevel="0" collapsed="false">
      <c r="A148" s="43" t="str">
        <f aca="false">IF(예산!A148="","",예산!A148)</f>
        <v/>
      </c>
      <c r="B148" s="43" t="str">
        <f aca="false">IF(예산!B148="","",예산!B148)</f>
        <v/>
      </c>
      <c r="C148" s="43" t="str">
        <f aca="false">IF(예산!C148="","",예산!C148)</f>
        <v/>
      </c>
      <c r="D148" s="9" t="str">
        <f aca="false">IF($A148="","",SUMIFS(INDEX(예산!$D$5:$O$204,0,설정!$B$4),예산!$A$5:$A$204,$A148))</f>
        <v/>
      </c>
      <c r="E148" s="9" t="str">
        <f aca="false">IF($A148="","",SUMIFS(INDEX(실적!$D$5:$O$204,0,설정!$B$4),실적!$A$5:$A$204,$A148))</f>
        <v/>
      </c>
      <c r="F148" s="9" t="str">
        <f aca="false">IF($A148="","",E148-D148)</f>
        <v/>
      </c>
      <c r="G148" s="10" t="str">
        <f aca="false">IF($A148="","",IF(D148=0,"n/a",F148/ABS(D148)))</f>
        <v/>
      </c>
      <c r="H148" s="11" t="str">
        <f aca="false">IF($A148="","",IF(F148=0,"-",IF((C148="매출")=(F148&gt;0),"유리","불리")))</f>
        <v/>
      </c>
      <c r="I148" s="9" t="str">
        <f aca="false">IF($A148="","",SUMPRODUCT((예산!$A$5:$A$204=$A148)*(COLUMN(예산!$D$4:$O$4)-COLUMN(예산!$D$4)+1&lt;=설정!$B$4)*예산!$D$5:$O$204))</f>
        <v/>
      </c>
      <c r="J148" s="9" t="str">
        <f aca="false">IF($A148="","",SUMPRODUCT((실적!$A$5:$A$204=$A148)*(COLUMN(실적!$D$4:$O$4)-COLUMN(실적!$D$4)+1&lt;=설정!$B$4)*실적!$D$5:$O$204))</f>
        <v/>
      </c>
      <c r="K148" s="9" t="str">
        <f aca="false">IF($A148="","",J148-I148)</f>
        <v/>
      </c>
      <c r="L148" s="10" t="str">
        <f aca="false">IF($A148="","",IF(I148=0,"n/a",K148/ABS(I148)))</f>
        <v/>
      </c>
      <c r="M148" s="11" t="str">
        <f aca="false">IF($A148="","",IF(K148=0,"-",IF((C148="매출")=(K148&gt;0),"유리","불리")))</f>
        <v/>
      </c>
      <c r="N148" s="18" t="str">
        <f aca="false">IF($A148="","",IF(AND(ABS(F148)&gt;=설정!$B$5,OR(D148=0,ABS(IF(D148=0,0,F148/D148))&gt;=설정!$B$6)),"●",""))</f>
        <v/>
      </c>
      <c r="O148" s="31"/>
      <c r="P148" s="44" t="str">
        <f aca="false">IF($A148="","",IF(N148="","",B148&amp;": 당월 실적 "&amp;TEXT(E148,"#,##0")&amp;설정!$B$7&amp;"으로 예산 대비 "&amp;TEXT(ABS(F148),"#,##0")&amp;설정!$B$7&amp;"("&amp;IF(D148=0,"예산 없음",TEXT(ABS(G148),"0.0%"))&amp;") "&amp;IF(C148="매출",IF(F148&gt;0,"상회","하회"),IF(F148&gt;0,"초과","절감"))&amp;" ["&amp;H148&amp;"]. 원인: "&amp;IF(O148="","___",O148)))</f>
        <v/>
      </c>
      <c r="Q148" s="45" t="str">
        <f aca="false">IF($A148="","",IF(N148="●",ABS(F148)+ROW()/1000000,0))</f>
        <v/>
      </c>
    </row>
    <row r="149" customFormat="false" ht="15" hidden="false" customHeight="false" outlineLevel="0" collapsed="false">
      <c r="A149" s="43" t="str">
        <f aca="false">IF(예산!A149="","",예산!A149)</f>
        <v/>
      </c>
      <c r="B149" s="43" t="str">
        <f aca="false">IF(예산!B149="","",예산!B149)</f>
        <v/>
      </c>
      <c r="C149" s="43" t="str">
        <f aca="false">IF(예산!C149="","",예산!C149)</f>
        <v/>
      </c>
      <c r="D149" s="9" t="str">
        <f aca="false">IF($A149="","",SUMIFS(INDEX(예산!$D$5:$O$204,0,설정!$B$4),예산!$A$5:$A$204,$A149))</f>
        <v/>
      </c>
      <c r="E149" s="9" t="str">
        <f aca="false">IF($A149="","",SUMIFS(INDEX(실적!$D$5:$O$204,0,설정!$B$4),실적!$A$5:$A$204,$A149))</f>
        <v/>
      </c>
      <c r="F149" s="9" t="str">
        <f aca="false">IF($A149="","",E149-D149)</f>
        <v/>
      </c>
      <c r="G149" s="10" t="str">
        <f aca="false">IF($A149="","",IF(D149=0,"n/a",F149/ABS(D149)))</f>
        <v/>
      </c>
      <c r="H149" s="11" t="str">
        <f aca="false">IF($A149="","",IF(F149=0,"-",IF((C149="매출")=(F149&gt;0),"유리","불리")))</f>
        <v/>
      </c>
      <c r="I149" s="9" t="str">
        <f aca="false">IF($A149="","",SUMPRODUCT((예산!$A$5:$A$204=$A149)*(COLUMN(예산!$D$4:$O$4)-COLUMN(예산!$D$4)+1&lt;=설정!$B$4)*예산!$D$5:$O$204))</f>
        <v/>
      </c>
      <c r="J149" s="9" t="str">
        <f aca="false">IF($A149="","",SUMPRODUCT((실적!$A$5:$A$204=$A149)*(COLUMN(실적!$D$4:$O$4)-COLUMN(실적!$D$4)+1&lt;=설정!$B$4)*실적!$D$5:$O$204))</f>
        <v/>
      </c>
      <c r="K149" s="9" t="str">
        <f aca="false">IF($A149="","",J149-I149)</f>
        <v/>
      </c>
      <c r="L149" s="10" t="str">
        <f aca="false">IF($A149="","",IF(I149=0,"n/a",K149/ABS(I149)))</f>
        <v/>
      </c>
      <c r="M149" s="11" t="str">
        <f aca="false">IF($A149="","",IF(K149=0,"-",IF((C149="매출")=(K149&gt;0),"유리","불리")))</f>
        <v/>
      </c>
      <c r="N149" s="18" t="str">
        <f aca="false">IF($A149="","",IF(AND(ABS(F149)&gt;=설정!$B$5,OR(D149=0,ABS(IF(D149=0,0,F149/D149))&gt;=설정!$B$6)),"●",""))</f>
        <v/>
      </c>
      <c r="O149" s="31"/>
      <c r="P149" s="44" t="str">
        <f aca="false">IF($A149="","",IF(N149="","",B149&amp;": 당월 실적 "&amp;TEXT(E149,"#,##0")&amp;설정!$B$7&amp;"으로 예산 대비 "&amp;TEXT(ABS(F149),"#,##0")&amp;설정!$B$7&amp;"("&amp;IF(D149=0,"예산 없음",TEXT(ABS(G149),"0.0%"))&amp;") "&amp;IF(C149="매출",IF(F149&gt;0,"상회","하회"),IF(F149&gt;0,"초과","절감"))&amp;" ["&amp;H149&amp;"]. 원인: "&amp;IF(O149="","___",O149)))</f>
        <v/>
      </c>
      <c r="Q149" s="45" t="str">
        <f aca="false">IF($A149="","",IF(N149="●",ABS(F149)+ROW()/1000000,0))</f>
        <v/>
      </c>
    </row>
    <row r="150" customFormat="false" ht="15" hidden="false" customHeight="false" outlineLevel="0" collapsed="false">
      <c r="A150" s="43" t="str">
        <f aca="false">IF(예산!A150="","",예산!A150)</f>
        <v/>
      </c>
      <c r="B150" s="43" t="str">
        <f aca="false">IF(예산!B150="","",예산!B150)</f>
        <v/>
      </c>
      <c r="C150" s="43" t="str">
        <f aca="false">IF(예산!C150="","",예산!C150)</f>
        <v/>
      </c>
      <c r="D150" s="9" t="str">
        <f aca="false">IF($A150="","",SUMIFS(INDEX(예산!$D$5:$O$204,0,설정!$B$4),예산!$A$5:$A$204,$A150))</f>
        <v/>
      </c>
      <c r="E150" s="9" t="str">
        <f aca="false">IF($A150="","",SUMIFS(INDEX(실적!$D$5:$O$204,0,설정!$B$4),실적!$A$5:$A$204,$A150))</f>
        <v/>
      </c>
      <c r="F150" s="9" t="str">
        <f aca="false">IF($A150="","",E150-D150)</f>
        <v/>
      </c>
      <c r="G150" s="10" t="str">
        <f aca="false">IF($A150="","",IF(D150=0,"n/a",F150/ABS(D150)))</f>
        <v/>
      </c>
      <c r="H150" s="11" t="str">
        <f aca="false">IF($A150="","",IF(F150=0,"-",IF((C150="매출")=(F150&gt;0),"유리","불리")))</f>
        <v/>
      </c>
      <c r="I150" s="9" t="str">
        <f aca="false">IF($A150="","",SUMPRODUCT((예산!$A$5:$A$204=$A150)*(COLUMN(예산!$D$4:$O$4)-COLUMN(예산!$D$4)+1&lt;=설정!$B$4)*예산!$D$5:$O$204))</f>
        <v/>
      </c>
      <c r="J150" s="9" t="str">
        <f aca="false">IF($A150="","",SUMPRODUCT((실적!$A$5:$A$204=$A150)*(COLUMN(실적!$D$4:$O$4)-COLUMN(실적!$D$4)+1&lt;=설정!$B$4)*실적!$D$5:$O$204))</f>
        <v/>
      </c>
      <c r="K150" s="9" t="str">
        <f aca="false">IF($A150="","",J150-I150)</f>
        <v/>
      </c>
      <c r="L150" s="10" t="str">
        <f aca="false">IF($A150="","",IF(I150=0,"n/a",K150/ABS(I150)))</f>
        <v/>
      </c>
      <c r="M150" s="11" t="str">
        <f aca="false">IF($A150="","",IF(K150=0,"-",IF((C150="매출")=(K150&gt;0),"유리","불리")))</f>
        <v/>
      </c>
      <c r="N150" s="18" t="str">
        <f aca="false">IF($A150="","",IF(AND(ABS(F150)&gt;=설정!$B$5,OR(D150=0,ABS(IF(D150=0,0,F150/D150))&gt;=설정!$B$6)),"●",""))</f>
        <v/>
      </c>
      <c r="O150" s="31"/>
      <c r="P150" s="44" t="str">
        <f aca="false">IF($A150="","",IF(N150="","",B150&amp;": 당월 실적 "&amp;TEXT(E150,"#,##0")&amp;설정!$B$7&amp;"으로 예산 대비 "&amp;TEXT(ABS(F150),"#,##0")&amp;설정!$B$7&amp;"("&amp;IF(D150=0,"예산 없음",TEXT(ABS(G150),"0.0%"))&amp;") "&amp;IF(C150="매출",IF(F150&gt;0,"상회","하회"),IF(F150&gt;0,"초과","절감"))&amp;" ["&amp;H150&amp;"]. 원인: "&amp;IF(O150="","___",O150)))</f>
        <v/>
      </c>
      <c r="Q150" s="45" t="str">
        <f aca="false">IF($A150="","",IF(N150="●",ABS(F150)+ROW()/1000000,0))</f>
        <v/>
      </c>
    </row>
    <row r="151" customFormat="false" ht="15" hidden="false" customHeight="false" outlineLevel="0" collapsed="false">
      <c r="A151" s="43" t="str">
        <f aca="false">IF(예산!A151="","",예산!A151)</f>
        <v/>
      </c>
      <c r="B151" s="43" t="str">
        <f aca="false">IF(예산!B151="","",예산!B151)</f>
        <v/>
      </c>
      <c r="C151" s="43" t="str">
        <f aca="false">IF(예산!C151="","",예산!C151)</f>
        <v/>
      </c>
      <c r="D151" s="9" t="str">
        <f aca="false">IF($A151="","",SUMIFS(INDEX(예산!$D$5:$O$204,0,설정!$B$4),예산!$A$5:$A$204,$A151))</f>
        <v/>
      </c>
      <c r="E151" s="9" t="str">
        <f aca="false">IF($A151="","",SUMIFS(INDEX(실적!$D$5:$O$204,0,설정!$B$4),실적!$A$5:$A$204,$A151))</f>
        <v/>
      </c>
      <c r="F151" s="9" t="str">
        <f aca="false">IF($A151="","",E151-D151)</f>
        <v/>
      </c>
      <c r="G151" s="10" t="str">
        <f aca="false">IF($A151="","",IF(D151=0,"n/a",F151/ABS(D151)))</f>
        <v/>
      </c>
      <c r="H151" s="11" t="str">
        <f aca="false">IF($A151="","",IF(F151=0,"-",IF((C151="매출")=(F151&gt;0),"유리","불리")))</f>
        <v/>
      </c>
      <c r="I151" s="9" t="str">
        <f aca="false">IF($A151="","",SUMPRODUCT((예산!$A$5:$A$204=$A151)*(COLUMN(예산!$D$4:$O$4)-COLUMN(예산!$D$4)+1&lt;=설정!$B$4)*예산!$D$5:$O$204))</f>
        <v/>
      </c>
      <c r="J151" s="9" t="str">
        <f aca="false">IF($A151="","",SUMPRODUCT((실적!$A$5:$A$204=$A151)*(COLUMN(실적!$D$4:$O$4)-COLUMN(실적!$D$4)+1&lt;=설정!$B$4)*실적!$D$5:$O$204))</f>
        <v/>
      </c>
      <c r="K151" s="9" t="str">
        <f aca="false">IF($A151="","",J151-I151)</f>
        <v/>
      </c>
      <c r="L151" s="10" t="str">
        <f aca="false">IF($A151="","",IF(I151=0,"n/a",K151/ABS(I151)))</f>
        <v/>
      </c>
      <c r="M151" s="11" t="str">
        <f aca="false">IF($A151="","",IF(K151=0,"-",IF((C151="매출")=(K151&gt;0),"유리","불리")))</f>
        <v/>
      </c>
      <c r="N151" s="18" t="str">
        <f aca="false">IF($A151="","",IF(AND(ABS(F151)&gt;=설정!$B$5,OR(D151=0,ABS(IF(D151=0,0,F151/D151))&gt;=설정!$B$6)),"●",""))</f>
        <v/>
      </c>
      <c r="O151" s="31"/>
      <c r="P151" s="44" t="str">
        <f aca="false">IF($A151="","",IF(N151="","",B151&amp;": 당월 실적 "&amp;TEXT(E151,"#,##0")&amp;설정!$B$7&amp;"으로 예산 대비 "&amp;TEXT(ABS(F151),"#,##0")&amp;설정!$B$7&amp;"("&amp;IF(D151=0,"예산 없음",TEXT(ABS(G151),"0.0%"))&amp;") "&amp;IF(C151="매출",IF(F151&gt;0,"상회","하회"),IF(F151&gt;0,"초과","절감"))&amp;" ["&amp;H151&amp;"]. 원인: "&amp;IF(O151="","___",O151)))</f>
        <v/>
      </c>
      <c r="Q151" s="45" t="str">
        <f aca="false">IF($A151="","",IF(N151="●",ABS(F151)+ROW()/1000000,0))</f>
        <v/>
      </c>
    </row>
    <row r="152" customFormat="false" ht="15" hidden="false" customHeight="false" outlineLevel="0" collapsed="false">
      <c r="A152" s="43" t="str">
        <f aca="false">IF(예산!A152="","",예산!A152)</f>
        <v/>
      </c>
      <c r="B152" s="43" t="str">
        <f aca="false">IF(예산!B152="","",예산!B152)</f>
        <v/>
      </c>
      <c r="C152" s="43" t="str">
        <f aca="false">IF(예산!C152="","",예산!C152)</f>
        <v/>
      </c>
      <c r="D152" s="9" t="str">
        <f aca="false">IF($A152="","",SUMIFS(INDEX(예산!$D$5:$O$204,0,설정!$B$4),예산!$A$5:$A$204,$A152))</f>
        <v/>
      </c>
      <c r="E152" s="9" t="str">
        <f aca="false">IF($A152="","",SUMIFS(INDEX(실적!$D$5:$O$204,0,설정!$B$4),실적!$A$5:$A$204,$A152))</f>
        <v/>
      </c>
      <c r="F152" s="9" t="str">
        <f aca="false">IF($A152="","",E152-D152)</f>
        <v/>
      </c>
      <c r="G152" s="10" t="str">
        <f aca="false">IF($A152="","",IF(D152=0,"n/a",F152/ABS(D152)))</f>
        <v/>
      </c>
      <c r="H152" s="11" t="str">
        <f aca="false">IF($A152="","",IF(F152=0,"-",IF((C152="매출")=(F152&gt;0),"유리","불리")))</f>
        <v/>
      </c>
      <c r="I152" s="9" t="str">
        <f aca="false">IF($A152="","",SUMPRODUCT((예산!$A$5:$A$204=$A152)*(COLUMN(예산!$D$4:$O$4)-COLUMN(예산!$D$4)+1&lt;=설정!$B$4)*예산!$D$5:$O$204))</f>
        <v/>
      </c>
      <c r="J152" s="9" t="str">
        <f aca="false">IF($A152="","",SUMPRODUCT((실적!$A$5:$A$204=$A152)*(COLUMN(실적!$D$4:$O$4)-COLUMN(실적!$D$4)+1&lt;=설정!$B$4)*실적!$D$5:$O$204))</f>
        <v/>
      </c>
      <c r="K152" s="9" t="str">
        <f aca="false">IF($A152="","",J152-I152)</f>
        <v/>
      </c>
      <c r="L152" s="10" t="str">
        <f aca="false">IF($A152="","",IF(I152=0,"n/a",K152/ABS(I152)))</f>
        <v/>
      </c>
      <c r="M152" s="11" t="str">
        <f aca="false">IF($A152="","",IF(K152=0,"-",IF((C152="매출")=(K152&gt;0),"유리","불리")))</f>
        <v/>
      </c>
      <c r="N152" s="18" t="str">
        <f aca="false">IF($A152="","",IF(AND(ABS(F152)&gt;=설정!$B$5,OR(D152=0,ABS(IF(D152=0,0,F152/D152))&gt;=설정!$B$6)),"●",""))</f>
        <v/>
      </c>
      <c r="O152" s="31"/>
      <c r="P152" s="44" t="str">
        <f aca="false">IF($A152="","",IF(N152="","",B152&amp;": 당월 실적 "&amp;TEXT(E152,"#,##0")&amp;설정!$B$7&amp;"으로 예산 대비 "&amp;TEXT(ABS(F152),"#,##0")&amp;설정!$B$7&amp;"("&amp;IF(D152=0,"예산 없음",TEXT(ABS(G152),"0.0%"))&amp;") "&amp;IF(C152="매출",IF(F152&gt;0,"상회","하회"),IF(F152&gt;0,"초과","절감"))&amp;" ["&amp;H152&amp;"]. 원인: "&amp;IF(O152="","___",O152)))</f>
        <v/>
      </c>
      <c r="Q152" s="45" t="str">
        <f aca="false">IF($A152="","",IF(N152="●",ABS(F152)+ROW()/1000000,0))</f>
        <v/>
      </c>
    </row>
    <row r="153" customFormat="false" ht="15" hidden="false" customHeight="false" outlineLevel="0" collapsed="false">
      <c r="A153" s="43" t="str">
        <f aca="false">IF(예산!A153="","",예산!A153)</f>
        <v/>
      </c>
      <c r="B153" s="43" t="str">
        <f aca="false">IF(예산!B153="","",예산!B153)</f>
        <v/>
      </c>
      <c r="C153" s="43" t="str">
        <f aca="false">IF(예산!C153="","",예산!C153)</f>
        <v/>
      </c>
      <c r="D153" s="9" t="str">
        <f aca="false">IF($A153="","",SUMIFS(INDEX(예산!$D$5:$O$204,0,설정!$B$4),예산!$A$5:$A$204,$A153))</f>
        <v/>
      </c>
      <c r="E153" s="9" t="str">
        <f aca="false">IF($A153="","",SUMIFS(INDEX(실적!$D$5:$O$204,0,설정!$B$4),실적!$A$5:$A$204,$A153))</f>
        <v/>
      </c>
      <c r="F153" s="9" t="str">
        <f aca="false">IF($A153="","",E153-D153)</f>
        <v/>
      </c>
      <c r="G153" s="10" t="str">
        <f aca="false">IF($A153="","",IF(D153=0,"n/a",F153/ABS(D153)))</f>
        <v/>
      </c>
      <c r="H153" s="11" t="str">
        <f aca="false">IF($A153="","",IF(F153=0,"-",IF((C153="매출")=(F153&gt;0),"유리","불리")))</f>
        <v/>
      </c>
      <c r="I153" s="9" t="str">
        <f aca="false">IF($A153="","",SUMPRODUCT((예산!$A$5:$A$204=$A153)*(COLUMN(예산!$D$4:$O$4)-COLUMN(예산!$D$4)+1&lt;=설정!$B$4)*예산!$D$5:$O$204))</f>
        <v/>
      </c>
      <c r="J153" s="9" t="str">
        <f aca="false">IF($A153="","",SUMPRODUCT((실적!$A$5:$A$204=$A153)*(COLUMN(실적!$D$4:$O$4)-COLUMN(실적!$D$4)+1&lt;=설정!$B$4)*실적!$D$5:$O$204))</f>
        <v/>
      </c>
      <c r="K153" s="9" t="str">
        <f aca="false">IF($A153="","",J153-I153)</f>
        <v/>
      </c>
      <c r="L153" s="10" t="str">
        <f aca="false">IF($A153="","",IF(I153=0,"n/a",K153/ABS(I153)))</f>
        <v/>
      </c>
      <c r="M153" s="11" t="str">
        <f aca="false">IF($A153="","",IF(K153=0,"-",IF((C153="매출")=(K153&gt;0),"유리","불리")))</f>
        <v/>
      </c>
      <c r="N153" s="18" t="str">
        <f aca="false">IF($A153="","",IF(AND(ABS(F153)&gt;=설정!$B$5,OR(D153=0,ABS(IF(D153=0,0,F153/D153))&gt;=설정!$B$6)),"●",""))</f>
        <v/>
      </c>
      <c r="O153" s="31"/>
      <c r="P153" s="44" t="str">
        <f aca="false">IF($A153="","",IF(N153="","",B153&amp;": 당월 실적 "&amp;TEXT(E153,"#,##0")&amp;설정!$B$7&amp;"으로 예산 대비 "&amp;TEXT(ABS(F153),"#,##0")&amp;설정!$B$7&amp;"("&amp;IF(D153=0,"예산 없음",TEXT(ABS(G153),"0.0%"))&amp;") "&amp;IF(C153="매출",IF(F153&gt;0,"상회","하회"),IF(F153&gt;0,"초과","절감"))&amp;" ["&amp;H153&amp;"]. 원인: "&amp;IF(O153="","___",O153)))</f>
        <v/>
      </c>
      <c r="Q153" s="45" t="str">
        <f aca="false">IF($A153="","",IF(N153="●",ABS(F153)+ROW()/1000000,0))</f>
        <v/>
      </c>
    </row>
    <row r="154" customFormat="false" ht="15" hidden="false" customHeight="false" outlineLevel="0" collapsed="false">
      <c r="A154" s="43" t="str">
        <f aca="false">IF(예산!A154="","",예산!A154)</f>
        <v/>
      </c>
      <c r="B154" s="43" t="str">
        <f aca="false">IF(예산!B154="","",예산!B154)</f>
        <v/>
      </c>
      <c r="C154" s="43" t="str">
        <f aca="false">IF(예산!C154="","",예산!C154)</f>
        <v/>
      </c>
      <c r="D154" s="9" t="str">
        <f aca="false">IF($A154="","",SUMIFS(INDEX(예산!$D$5:$O$204,0,설정!$B$4),예산!$A$5:$A$204,$A154))</f>
        <v/>
      </c>
      <c r="E154" s="9" t="str">
        <f aca="false">IF($A154="","",SUMIFS(INDEX(실적!$D$5:$O$204,0,설정!$B$4),실적!$A$5:$A$204,$A154))</f>
        <v/>
      </c>
      <c r="F154" s="9" t="str">
        <f aca="false">IF($A154="","",E154-D154)</f>
        <v/>
      </c>
      <c r="G154" s="10" t="str">
        <f aca="false">IF($A154="","",IF(D154=0,"n/a",F154/ABS(D154)))</f>
        <v/>
      </c>
      <c r="H154" s="11" t="str">
        <f aca="false">IF($A154="","",IF(F154=0,"-",IF((C154="매출")=(F154&gt;0),"유리","불리")))</f>
        <v/>
      </c>
      <c r="I154" s="9" t="str">
        <f aca="false">IF($A154="","",SUMPRODUCT((예산!$A$5:$A$204=$A154)*(COLUMN(예산!$D$4:$O$4)-COLUMN(예산!$D$4)+1&lt;=설정!$B$4)*예산!$D$5:$O$204))</f>
        <v/>
      </c>
      <c r="J154" s="9" t="str">
        <f aca="false">IF($A154="","",SUMPRODUCT((실적!$A$5:$A$204=$A154)*(COLUMN(실적!$D$4:$O$4)-COLUMN(실적!$D$4)+1&lt;=설정!$B$4)*실적!$D$5:$O$204))</f>
        <v/>
      </c>
      <c r="K154" s="9" t="str">
        <f aca="false">IF($A154="","",J154-I154)</f>
        <v/>
      </c>
      <c r="L154" s="10" t="str">
        <f aca="false">IF($A154="","",IF(I154=0,"n/a",K154/ABS(I154)))</f>
        <v/>
      </c>
      <c r="M154" s="11" t="str">
        <f aca="false">IF($A154="","",IF(K154=0,"-",IF((C154="매출")=(K154&gt;0),"유리","불리")))</f>
        <v/>
      </c>
      <c r="N154" s="18" t="str">
        <f aca="false">IF($A154="","",IF(AND(ABS(F154)&gt;=설정!$B$5,OR(D154=0,ABS(IF(D154=0,0,F154/D154))&gt;=설정!$B$6)),"●",""))</f>
        <v/>
      </c>
      <c r="O154" s="31"/>
      <c r="P154" s="44" t="str">
        <f aca="false">IF($A154="","",IF(N154="","",B154&amp;": 당월 실적 "&amp;TEXT(E154,"#,##0")&amp;설정!$B$7&amp;"으로 예산 대비 "&amp;TEXT(ABS(F154),"#,##0")&amp;설정!$B$7&amp;"("&amp;IF(D154=0,"예산 없음",TEXT(ABS(G154),"0.0%"))&amp;") "&amp;IF(C154="매출",IF(F154&gt;0,"상회","하회"),IF(F154&gt;0,"초과","절감"))&amp;" ["&amp;H154&amp;"]. 원인: "&amp;IF(O154="","___",O154)))</f>
        <v/>
      </c>
      <c r="Q154" s="45" t="str">
        <f aca="false">IF($A154="","",IF(N154="●",ABS(F154)+ROW()/1000000,0))</f>
        <v/>
      </c>
    </row>
    <row r="155" customFormat="false" ht="15" hidden="false" customHeight="false" outlineLevel="0" collapsed="false">
      <c r="A155" s="43" t="str">
        <f aca="false">IF(예산!A155="","",예산!A155)</f>
        <v/>
      </c>
      <c r="B155" s="43" t="str">
        <f aca="false">IF(예산!B155="","",예산!B155)</f>
        <v/>
      </c>
      <c r="C155" s="43" t="str">
        <f aca="false">IF(예산!C155="","",예산!C155)</f>
        <v/>
      </c>
      <c r="D155" s="9" t="str">
        <f aca="false">IF($A155="","",SUMIFS(INDEX(예산!$D$5:$O$204,0,설정!$B$4),예산!$A$5:$A$204,$A155))</f>
        <v/>
      </c>
      <c r="E155" s="9" t="str">
        <f aca="false">IF($A155="","",SUMIFS(INDEX(실적!$D$5:$O$204,0,설정!$B$4),실적!$A$5:$A$204,$A155))</f>
        <v/>
      </c>
      <c r="F155" s="9" t="str">
        <f aca="false">IF($A155="","",E155-D155)</f>
        <v/>
      </c>
      <c r="G155" s="10" t="str">
        <f aca="false">IF($A155="","",IF(D155=0,"n/a",F155/ABS(D155)))</f>
        <v/>
      </c>
      <c r="H155" s="11" t="str">
        <f aca="false">IF($A155="","",IF(F155=0,"-",IF((C155="매출")=(F155&gt;0),"유리","불리")))</f>
        <v/>
      </c>
      <c r="I155" s="9" t="str">
        <f aca="false">IF($A155="","",SUMPRODUCT((예산!$A$5:$A$204=$A155)*(COLUMN(예산!$D$4:$O$4)-COLUMN(예산!$D$4)+1&lt;=설정!$B$4)*예산!$D$5:$O$204))</f>
        <v/>
      </c>
      <c r="J155" s="9" t="str">
        <f aca="false">IF($A155="","",SUMPRODUCT((실적!$A$5:$A$204=$A155)*(COLUMN(실적!$D$4:$O$4)-COLUMN(실적!$D$4)+1&lt;=설정!$B$4)*실적!$D$5:$O$204))</f>
        <v/>
      </c>
      <c r="K155" s="9" t="str">
        <f aca="false">IF($A155="","",J155-I155)</f>
        <v/>
      </c>
      <c r="L155" s="10" t="str">
        <f aca="false">IF($A155="","",IF(I155=0,"n/a",K155/ABS(I155)))</f>
        <v/>
      </c>
      <c r="M155" s="11" t="str">
        <f aca="false">IF($A155="","",IF(K155=0,"-",IF((C155="매출")=(K155&gt;0),"유리","불리")))</f>
        <v/>
      </c>
      <c r="N155" s="18" t="str">
        <f aca="false">IF($A155="","",IF(AND(ABS(F155)&gt;=설정!$B$5,OR(D155=0,ABS(IF(D155=0,0,F155/D155))&gt;=설정!$B$6)),"●",""))</f>
        <v/>
      </c>
      <c r="O155" s="31"/>
      <c r="P155" s="44" t="str">
        <f aca="false">IF($A155="","",IF(N155="","",B155&amp;": 당월 실적 "&amp;TEXT(E155,"#,##0")&amp;설정!$B$7&amp;"으로 예산 대비 "&amp;TEXT(ABS(F155),"#,##0")&amp;설정!$B$7&amp;"("&amp;IF(D155=0,"예산 없음",TEXT(ABS(G155),"0.0%"))&amp;") "&amp;IF(C155="매출",IF(F155&gt;0,"상회","하회"),IF(F155&gt;0,"초과","절감"))&amp;" ["&amp;H155&amp;"]. 원인: "&amp;IF(O155="","___",O155)))</f>
        <v/>
      </c>
      <c r="Q155" s="45" t="str">
        <f aca="false">IF($A155="","",IF(N155="●",ABS(F155)+ROW()/1000000,0))</f>
        <v/>
      </c>
    </row>
    <row r="156" customFormat="false" ht="15" hidden="false" customHeight="false" outlineLevel="0" collapsed="false">
      <c r="A156" s="43" t="str">
        <f aca="false">IF(예산!A156="","",예산!A156)</f>
        <v/>
      </c>
      <c r="B156" s="43" t="str">
        <f aca="false">IF(예산!B156="","",예산!B156)</f>
        <v/>
      </c>
      <c r="C156" s="43" t="str">
        <f aca="false">IF(예산!C156="","",예산!C156)</f>
        <v/>
      </c>
      <c r="D156" s="9" t="str">
        <f aca="false">IF($A156="","",SUMIFS(INDEX(예산!$D$5:$O$204,0,설정!$B$4),예산!$A$5:$A$204,$A156))</f>
        <v/>
      </c>
      <c r="E156" s="9" t="str">
        <f aca="false">IF($A156="","",SUMIFS(INDEX(실적!$D$5:$O$204,0,설정!$B$4),실적!$A$5:$A$204,$A156))</f>
        <v/>
      </c>
      <c r="F156" s="9" t="str">
        <f aca="false">IF($A156="","",E156-D156)</f>
        <v/>
      </c>
      <c r="G156" s="10" t="str">
        <f aca="false">IF($A156="","",IF(D156=0,"n/a",F156/ABS(D156)))</f>
        <v/>
      </c>
      <c r="H156" s="11" t="str">
        <f aca="false">IF($A156="","",IF(F156=0,"-",IF((C156="매출")=(F156&gt;0),"유리","불리")))</f>
        <v/>
      </c>
      <c r="I156" s="9" t="str">
        <f aca="false">IF($A156="","",SUMPRODUCT((예산!$A$5:$A$204=$A156)*(COLUMN(예산!$D$4:$O$4)-COLUMN(예산!$D$4)+1&lt;=설정!$B$4)*예산!$D$5:$O$204))</f>
        <v/>
      </c>
      <c r="J156" s="9" t="str">
        <f aca="false">IF($A156="","",SUMPRODUCT((실적!$A$5:$A$204=$A156)*(COLUMN(실적!$D$4:$O$4)-COLUMN(실적!$D$4)+1&lt;=설정!$B$4)*실적!$D$5:$O$204))</f>
        <v/>
      </c>
      <c r="K156" s="9" t="str">
        <f aca="false">IF($A156="","",J156-I156)</f>
        <v/>
      </c>
      <c r="L156" s="10" t="str">
        <f aca="false">IF($A156="","",IF(I156=0,"n/a",K156/ABS(I156)))</f>
        <v/>
      </c>
      <c r="M156" s="11" t="str">
        <f aca="false">IF($A156="","",IF(K156=0,"-",IF((C156="매출")=(K156&gt;0),"유리","불리")))</f>
        <v/>
      </c>
      <c r="N156" s="18" t="str">
        <f aca="false">IF($A156="","",IF(AND(ABS(F156)&gt;=설정!$B$5,OR(D156=0,ABS(IF(D156=0,0,F156/D156))&gt;=설정!$B$6)),"●",""))</f>
        <v/>
      </c>
      <c r="O156" s="31"/>
      <c r="P156" s="44" t="str">
        <f aca="false">IF($A156="","",IF(N156="","",B156&amp;": 당월 실적 "&amp;TEXT(E156,"#,##0")&amp;설정!$B$7&amp;"으로 예산 대비 "&amp;TEXT(ABS(F156),"#,##0")&amp;설정!$B$7&amp;"("&amp;IF(D156=0,"예산 없음",TEXT(ABS(G156),"0.0%"))&amp;") "&amp;IF(C156="매출",IF(F156&gt;0,"상회","하회"),IF(F156&gt;0,"초과","절감"))&amp;" ["&amp;H156&amp;"]. 원인: "&amp;IF(O156="","___",O156)))</f>
        <v/>
      </c>
      <c r="Q156" s="45" t="str">
        <f aca="false">IF($A156="","",IF(N156="●",ABS(F156)+ROW()/1000000,0))</f>
        <v/>
      </c>
    </row>
    <row r="157" customFormat="false" ht="15" hidden="false" customHeight="false" outlineLevel="0" collapsed="false">
      <c r="A157" s="43" t="str">
        <f aca="false">IF(예산!A157="","",예산!A157)</f>
        <v/>
      </c>
      <c r="B157" s="43" t="str">
        <f aca="false">IF(예산!B157="","",예산!B157)</f>
        <v/>
      </c>
      <c r="C157" s="43" t="str">
        <f aca="false">IF(예산!C157="","",예산!C157)</f>
        <v/>
      </c>
      <c r="D157" s="9" t="str">
        <f aca="false">IF($A157="","",SUMIFS(INDEX(예산!$D$5:$O$204,0,설정!$B$4),예산!$A$5:$A$204,$A157))</f>
        <v/>
      </c>
      <c r="E157" s="9" t="str">
        <f aca="false">IF($A157="","",SUMIFS(INDEX(실적!$D$5:$O$204,0,설정!$B$4),실적!$A$5:$A$204,$A157))</f>
        <v/>
      </c>
      <c r="F157" s="9" t="str">
        <f aca="false">IF($A157="","",E157-D157)</f>
        <v/>
      </c>
      <c r="G157" s="10" t="str">
        <f aca="false">IF($A157="","",IF(D157=0,"n/a",F157/ABS(D157)))</f>
        <v/>
      </c>
      <c r="H157" s="11" t="str">
        <f aca="false">IF($A157="","",IF(F157=0,"-",IF((C157="매출")=(F157&gt;0),"유리","불리")))</f>
        <v/>
      </c>
      <c r="I157" s="9" t="str">
        <f aca="false">IF($A157="","",SUMPRODUCT((예산!$A$5:$A$204=$A157)*(COLUMN(예산!$D$4:$O$4)-COLUMN(예산!$D$4)+1&lt;=설정!$B$4)*예산!$D$5:$O$204))</f>
        <v/>
      </c>
      <c r="J157" s="9" t="str">
        <f aca="false">IF($A157="","",SUMPRODUCT((실적!$A$5:$A$204=$A157)*(COLUMN(실적!$D$4:$O$4)-COLUMN(실적!$D$4)+1&lt;=설정!$B$4)*실적!$D$5:$O$204))</f>
        <v/>
      </c>
      <c r="K157" s="9" t="str">
        <f aca="false">IF($A157="","",J157-I157)</f>
        <v/>
      </c>
      <c r="L157" s="10" t="str">
        <f aca="false">IF($A157="","",IF(I157=0,"n/a",K157/ABS(I157)))</f>
        <v/>
      </c>
      <c r="M157" s="11" t="str">
        <f aca="false">IF($A157="","",IF(K157=0,"-",IF((C157="매출")=(K157&gt;0),"유리","불리")))</f>
        <v/>
      </c>
      <c r="N157" s="18" t="str">
        <f aca="false">IF($A157="","",IF(AND(ABS(F157)&gt;=설정!$B$5,OR(D157=0,ABS(IF(D157=0,0,F157/D157))&gt;=설정!$B$6)),"●",""))</f>
        <v/>
      </c>
      <c r="O157" s="31"/>
      <c r="P157" s="44" t="str">
        <f aca="false">IF($A157="","",IF(N157="","",B157&amp;": 당월 실적 "&amp;TEXT(E157,"#,##0")&amp;설정!$B$7&amp;"으로 예산 대비 "&amp;TEXT(ABS(F157),"#,##0")&amp;설정!$B$7&amp;"("&amp;IF(D157=0,"예산 없음",TEXT(ABS(G157),"0.0%"))&amp;") "&amp;IF(C157="매출",IF(F157&gt;0,"상회","하회"),IF(F157&gt;0,"초과","절감"))&amp;" ["&amp;H157&amp;"]. 원인: "&amp;IF(O157="","___",O157)))</f>
        <v/>
      </c>
      <c r="Q157" s="45" t="str">
        <f aca="false">IF($A157="","",IF(N157="●",ABS(F157)+ROW()/1000000,0))</f>
        <v/>
      </c>
    </row>
    <row r="158" customFormat="false" ht="15" hidden="false" customHeight="false" outlineLevel="0" collapsed="false">
      <c r="A158" s="43" t="str">
        <f aca="false">IF(예산!A158="","",예산!A158)</f>
        <v/>
      </c>
      <c r="B158" s="43" t="str">
        <f aca="false">IF(예산!B158="","",예산!B158)</f>
        <v/>
      </c>
      <c r="C158" s="43" t="str">
        <f aca="false">IF(예산!C158="","",예산!C158)</f>
        <v/>
      </c>
      <c r="D158" s="9" t="str">
        <f aca="false">IF($A158="","",SUMIFS(INDEX(예산!$D$5:$O$204,0,설정!$B$4),예산!$A$5:$A$204,$A158))</f>
        <v/>
      </c>
      <c r="E158" s="9" t="str">
        <f aca="false">IF($A158="","",SUMIFS(INDEX(실적!$D$5:$O$204,0,설정!$B$4),실적!$A$5:$A$204,$A158))</f>
        <v/>
      </c>
      <c r="F158" s="9" t="str">
        <f aca="false">IF($A158="","",E158-D158)</f>
        <v/>
      </c>
      <c r="G158" s="10" t="str">
        <f aca="false">IF($A158="","",IF(D158=0,"n/a",F158/ABS(D158)))</f>
        <v/>
      </c>
      <c r="H158" s="11" t="str">
        <f aca="false">IF($A158="","",IF(F158=0,"-",IF((C158="매출")=(F158&gt;0),"유리","불리")))</f>
        <v/>
      </c>
      <c r="I158" s="9" t="str">
        <f aca="false">IF($A158="","",SUMPRODUCT((예산!$A$5:$A$204=$A158)*(COLUMN(예산!$D$4:$O$4)-COLUMN(예산!$D$4)+1&lt;=설정!$B$4)*예산!$D$5:$O$204))</f>
        <v/>
      </c>
      <c r="J158" s="9" t="str">
        <f aca="false">IF($A158="","",SUMPRODUCT((실적!$A$5:$A$204=$A158)*(COLUMN(실적!$D$4:$O$4)-COLUMN(실적!$D$4)+1&lt;=설정!$B$4)*실적!$D$5:$O$204))</f>
        <v/>
      </c>
      <c r="K158" s="9" t="str">
        <f aca="false">IF($A158="","",J158-I158)</f>
        <v/>
      </c>
      <c r="L158" s="10" t="str">
        <f aca="false">IF($A158="","",IF(I158=0,"n/a",K158/ABS(I158)))</f>
        <v/>
      </c>
      <c r="M158" s="11" t="str">
        <f aca="false">IF($A158="","",IF(K158=0,"-",IF((C158="매출")=(K158&gt;0),"유리","불리")))</f>
        <v/>
      </c>
      <c r="N158" s="18" t="str">
        <f aca="false">IF($A158="","",IF(AND(ABS(F158)&gt;=설정!$B$5,OR(D158=0,ABS(IF(D158=0,0,F158/D158))&gt;=설정!$B$6)),"●",""))</f>
        <v/>
      </c>
      <c r="O158" s="31"/>
      <c r="P158" s="44" t="str">
        <f aca="false">IF($A158="","",IF(N158="","",B158&amp;": 당월 실적 "&amp;TEXT(E158,"#,##0")&amp;설정!$B$7&amp;"으로 예산 대비 "&amp;TEXT(ABS(F158),"#,##0")&amp;설정!$B$7&amp;"("&amp;IF(D158=0,"예산 없음",TEXT(ABS(G158),"0.0%"))&amp;") "&amp;IF(C158="매출",IF(F158&gt;0,"상회","하회"),IF(F158&gt;0,"초과","절감"))&amp;" ["&amp;H158&amp;"]. 원인: "&amp;IF(O158="","___",O158)))</f>
        <v/>
      </c>
      <c r="Q158" s="45" t="str">
        <f aca="false">IF($A158="","",IF(N158="●",ABS(F158)+ROW()/1000000,0))</f>
        <v/>
      </c>
    </row>
    <row r="159" customFormat="false" ht="15" hidden="false" customHeight="false" outlineLevel="0" collapsed="false">
      <c r="A159" s="43" t="str">
        <f aca="false">IF(예산!A159="","",예산!A159)</f>
        <v/>
      </c>
      <c r="B159" s="43" t="str">
        <f aca="false">IF(예산!B159="","",예산!B159)</f>
        <v/>
      </c>
      <c r="C159" s="43" t="str">
        <f aca="false">IF(예산!C159="","",예산!C159)</f>
        <v/>
      </c>
      <c r="D159" s="9" t="str">
        <f aca="false">IF($A159="","",SUMIFS(INDEX(예산!$D$5:$O$204,0,설정!$B$4),예산!$A$5:$A$204,$A159))</f>
        <v/>
      </c>
      <c r="E159" s="9" t="str">
        <f aca="false">IF($A159="","",SUMIFS(INDEX(실적!$D$5:$O$204,0,설정!$B$4),실적!$A$5:$A$204,$A159))</f>
        <v/>
      </c>
      <c r="F159" s="9" t="str">
        <f aca="false">IF($A159="","",E159-D159)</f>
        <v/>
      </c>
      <c r="G159" s="10" t="str">
        <f aca="false">IF($A159="","",IF(D159=0,"n/a",F159/ABS(D159)))</f>
        <v/>
      </c>
      <c r="H159" s="11" t="str">
        <f aca="false">IF($A159="","",IF(F159=0,"-",IF((C159="매출")=(F159&gt;0),"유리","불리")))</f>
        <v/>
      </c>
      <c r="I159" s="9" t="str">
        <f aca="false">IF($A159="","",SUMPRODUCT((예산!$A$5:$A$204=$A159)*(COLUMN(예산!$D$4:$O$4)-COLUMN(예산!$D$4)+1&lt;=설정!$B$4)*예산!$D$5:$O$204))</f>
        <v/>
      </c>
      <c r="J159" s="9" t="str">
        <f aca="false">IF($A159="","",SUMPRODUCT((실적!$A$5:$A$204=$A159)*(COLUMN(실적!$D$4:$O$4)-COLUMN(실적!$D$4)+1&lt;=설정!$B$4)*실적!$D$5:$O$204))</f>
        <v/>
      </c>
      <c r="K159" s="9" t="str">
        <f aca="false">IF($A159="","",J159-I159)</f>
        <v/>
      </c>
      <c r="L159" s="10" t="str">
        <f aca="false">IF($A159="","",IF(I159=0,"n/a",K159/ABS(I159)))</f>
        <v/>
      </c>
      <c r="M159" s="11" t="str">
        <f aca="false">IF($A159="","",IF(K159=0,"-",IF((C159="매출")=(K159&gt;0),"유리","불리")))</f>
        <v/>
      </c>
      <c r="N159" s="18" t="str">
        <f aca="false">IF($A159="","",IF(AND(ABS(F159)&gt;=설정!$B$5,OR(D159=0,ABS(IF(D159=0,0,F159/D159))&gt;=설정!$B$6)),"●",""))</f>
        <v/>
      </c>
      <c r="O159" s="31"/>
      <c r="P159" s="44" t="str">
        <f aca="false">IF($A159="","",IF(N159="","",B159&amp;": 당월 실적 "&amp;TEXT(E159,"#,##0")&amp;설정!$B$7&amp;"으로 예산 대비 "&amp;TEXT(ABS(F159),"#,##0")&amp;설정!$B$7&amp;"("&amp;IF(D159=0,"예산 없음",TEXT(ABS(G159),"0.0%"))&amp;") "&amp;IF(C159="매출",IF(F159&gt;0,"상회","하회"),IF(F159&gt;0,"초과","절감"))&amp;" ["&amp;H159&amp;"]. 원인: "&amp;IF(O159="","___",O159)))</f>
        <v/>
      </c>
      <c r="Q159" s="45" t="str">
        <f aca="false">IF($A159="","",IF(N159="●",ABS(F159)+ROW()/1000000,0))</f>
        <v/>
      </c>
    </row>
    <row r="160" customFormat="false" ht="15" hidden="false" customHeight="false" outlineLevel="0" collapsed="false">
      <c r="A160" s="43" t="str">
        <f aca="false">IF(예산!A160="","",예산!A160)</f>
        <v/>
      </c>
      <c r="B160" s="43" t="str">
        <f aca="false">IF(예산!B160="","",예산!B160)</f>
        <v/>
      </c>
      <c r="C160" s="43" t="str">
        <f aca="false">IF(예산!C160="","",예산!C160)</f>
        <v/>
      </c>
      <c r="D160" s="9" t="str">
        <f aca="false">IF($A160="","",SUMIFS(INDEX(예산!$D$5:$O$204,0,설정!$B$4),예산!$A$5:$A$204,$A160))</f>
        <v/>
      </c>
      <c r="E160" s="9" t="str">
        <f aca="false">IF($A160="","",SUMIFS(INDEX(실적!$D$5:$O$204,0,설정!$B$4),실적!$A$5:$A$204,$A160))</f>
        <v/>
      </c>
      <c r="F160" s="9" t="str">
        <f aca="false">IF($A160="","",E160-D160)</f>
        <v/>
      </c>
      <c r="G160" s="10" t="str">
        <f aca="false">IF($A160="","",IF(D160=0,"n/a",F160/ABS(D160)))</f>
        <v/>
      </c>
      <c r="H160" s="11" t="str">
        <f aca="false">IF($A160="","",IF(F160=0,"-",IF((C160="매출")=(F160&gt;0),"유리","불리")))</f>
        <v/>
      </c>
      <c r="I160" s="9" t="str">
        <f aca="false">IF($A160="","",SUMPRODUCT((예산!$A$5:$A$204=$A160)*(COLUMN(예산!$D$4:$O$4)-COLUMN(예산!$D$4)+1&lt;=설정!$B$4)*예산!$D$5:$O$204))</f>
        <v/>
      </c>
      <c r="J160" s="9" t="str">
        <f aca="false">IF($A160="","",SUMPRODUCT((실적!$A$5:$A$204=$A160)*(COLUMN(실적!$D$4:$O$4)-COLUMN(실적!$D$4)+1&lt;=설정!$B$4)*실적!$D$5:$O$204))</f>
        <v/>
      </c>
      <c r="K160" s="9" t="str">
        <f aca="false">IF($A160="","",J160-I160)</f>
        <v/>
      </c>
      <c r="L160" s="10" t="str">
        <f aca="false">IF($A160="","",IF(I160=0,"n/a",K160/ABS(I160)))</f>
        <v/>
      </c>
      <c r="M160" s="11" t="str">
        <f aca="false">IF($A160="","",IF(K160=0,"-",IF((C160="매출")=(K160&gt;0),"유리","불리")))</f>
        <v/>
      </c>
      <c r="N160" s="18" t="str">
        <f aca="false">IF($A160="","",IF(AND(ABS(F160)&gt;=설정!$B$5,OR(D160=0,ABS(IF(D160=0,0,F160/D160))&gt;=설정!$B$6)),"●",""))</f>
        <v/>
      </c>
      <c r="O160" s="31"/>
      <c r="P160" s="44" t="str">
        <f aca="false">IF($A160="","",IF(N160="","",B160&amp;": 당월 실적 "&amp;TEXT(E160,"#,##0")&amp;설정!$B$7&amp;"으로 예산 대비 "&amp;TEXT(ABS(F160),"#,##0")&amp;설정!$B$7&amp;"("&amp;IF(D160=0,"예산 없음",TEXT(ABS(G160),"0.0%"))&amp;") "&amp;IF(C160="매출",IF(F160&gt;0,"상회","하회"),IF(F160&gt;0,"초과","절감"))&amp;" ["&amp;H160&amp;"]. 원인: "&amp;IF(O160="","___",O160)))</f>
        <v/>
      </c>
      <c r="Q160" s="45" t="str">
        <f aca="false">IF($A160="","",IF(N160="●",ABS(F160)+ROW()/1000000,0))</f>
        <v/>
      </c>
    </row>
    <row r="161" customFormat="false" ht="15" hidden="false" customHeight="false" outlineLevel="0" collapsed="false">
      <c r="A161" s="43" t="str">
        <f aca="false">IF(예산!A161="","",예산!A161)</f>
        <v/>
      </c>
      <c r="B161" s="43" t="str">
        <f aca="false">IF(예산!B161="","",예산!B161)</f>
        <v/>
      </c>
      <c r="C161" s="43" t="str">
        <f aca="false">IF(예산!C161="","",예산!C161)</f>
        <v/>
      </c>
      <c r="D161" s="9" t="str">
        <f aca="false">IF($A161="","",SUMIFS(INDEX(예산!$D$5:$O$204,0,설정!$B$4),예산!$A$5:$A$204,$A161))</f>
        <v/>
      </c>
      <c r="E161" s="9" t="str">
        <f aca="false">IF($A161="","",SUMIFS(INDEX(실적!$D$5:$O$204,0,설정!$B$4),실적!$A$5:$A$204,$A161))</f>
        <v/>
      </c>
      <c r="F161" s="9" t="str">
        <f aca="false">IF($A161="","",E161-D161)</f>
        <v/>
      </c>
      <c r="G161" s="10" t="str">
        <f aca="false">IF($A161="","",IF(D161=0,"n/a",F161/ABS(D161)))</f>
        <v/>
      </c>
      <c r="H161" s="11" t="str">
        <f aca="false">IF($A161="","",IF(F161=0,"-",IF((C161="매출")=(F161&gt;0),"유리","불리")))</f>
        <v/>
      </c>
      <c r="I161" s="9" t="str">
        <f aca="false">IF($A161="","",SUMPRODUCT((예산!$A$5:$A$204=$A161)*(COLUMN(예산!$D$4:$O$4)-COLUMN(예산!$D$4)+1&lt;=설정!$B$4)*예산!$D$5:$O$204))</f>
        <v/>
      </c>
      <c r="J161" s="9" t="str">
        <f aca="false">IF($A161="","",SUMPRODUCT((실적!$A$5:$A$204=$A161)*(COLUMN(실적!$D$4:$O$4)-COLUMN(실적!$D$4)+1&lt;=설정!$B$4)*실적!$D$5:$O$204))</f>
        <v/>
      </c>
      <c r="K161" s="9" t="str">
        <f aca="false">IF($A161="","",J161-I161)</f>
        <v/>
      </c>
      <c r="L161" s="10" t="str">
        <f aca="false">IF($A161="","",IF(I161=0,"n/a",K161/ABS(I161)))</f>
        <v/>
      </c>
      <c r="M161" s="11" t="str">
        <f aca="false">IF($A161="","",IF(K161=0,"-",IF((C161="매출")=(K161&gt;0),"유리","불리")))</f>
        <v/>
      </c>
      <c r="N161" s="18" t="str">
        <f aca="false">IF($A161="","",IF(AND(ABS(F161)&gt;=설정!$B$5,OR(D161=0,ABS(IF(D161=0,0,F161/D161))&gt;=설정!$B$6)),"●",""))</f>
        <v/>
      </c>
      <c r="O161" s="31"/>
      <c r="P161" s="44" t="str">
        <f aca="false">IF($A161="","",IF(N161="","",B161&amp;": 당월 실적 "&amp;TEXT(E161,"#,##0")&amp;설정!$B$7&amp;"으로 예산 대비 "&amp;TEXT(ABS(F161),"#,##0")&amp;설정!$B$7&amp;"("&amp;IF(D161=0,"예산 없음",TEXT(ABS(G161),"0.0%"))&amp;") "&amp;IF(C161="매출",IF(F161&gt;0,"상회","하회"),IF(F161&gt;0,"초과","절감"))&amp;" ["&amp;H161&amp;"]. 원인: "&amp;IF(O161="","___",O161)))</f>
        <v/>
      </c>
      <c r="Q161" s="45" t="str">
        <f aca="false">IF($A161="","",IF(N161="●",ABS(F161)+ROW()/1000000,0))</f>
        <v/>
      </c>
    </row>
    <row r="162" customFormat="false" ht="15" hidden="false" customHeight="false" outlineLevel="0" collapsed="false">
      <c r="A162" s="43" t="str">
        <f aca="false">IF(예산!A162="","",예산!A162)</f>
        <v/>
      </c>
      <c r="B162" s="43" t="str">
        <f aca="false">IF(예산!B162="","",예산!B162)</f>
        <v/>
      </c>
      <c r="C162" s="43" t="str">
        <f aca="false">IF(예산!C162="","",예산!C162)</f>
        <v/>
      </c>
      <c r="D162" s="9" t="str">
        <f aca="false">IF($A162="","",SUMIFS(INDEX(예산!$D$5:$O$204,0,설정!$B$4),예산!$A$5:$A$204,$A162))</f>
        <v/>
      </c>
      <c r="E162" s="9" t="str">
        <f aca="false">IF($A162="","",SUMIFS(INDEX(실적!$D$5:$O$204,0,설정!$B$4),실적!$A$5:$A$204,$A162))</f>
        <v/>
      </c>
      <c r="F162" s="9" t="str">
        <f aca="false">IF($A162="","",E162-D162)</f>
        <v/>
      </c>
      <c r="G162" s="10" t="str">
        <f aca="false">IF($A162="","",IF(D162=0,"n/a",F162/ABS(D162)))</f>
        <v/>
      </c>
      <c r="H162" s="11" t="str">
        <f aca="false">IF($A162="","",IF(F162=0,"-",IF((C162="매출")=(F162&gt;0),"유리","불리")))</f>
        <v/>
      </c>
      <c r="I162" s="9" t="str">
        <f aca="false">IF($A162="","",SUMPRODUCT((예산!$A$5:$A$204=$A162)*(COLUMN(예산!$D$4:$O$4)-COLUMN(예산!$D$4)+1&lt;=설정!$B$4)*예산!$D$5:$O$204))</f>
        <v/>
      </c>
      <c r="J162" s="9" t="str">
        <f aca="false">IF($A162="","",SUMPRODUCT((실적!$A$5:$A$204=$A162)*(COLUMN(실적!$D$4:$O$4)-COLUMN(실적!$D$4)+1&lt;=설정!$B$4)*실적!$D$5:$O$204))</f>
        <v/>
      </c>
      <c r="K162" s="9" t="str">
        <f aca="false">IF($A162="","",J162-I162)</f>
        <v/>
      </c>
      <c r="L162" s="10" t="str">
        <f aca="false">IF($A162="","",IF(I162=0,"n/a",K162/ABS(I162)))</f>
        <v/>
      </c>
      <c r="M162" s="11" t="str">
        <f aca="false">IF($A162="","",IF(K162=0,"-",IF((C162="매출")=(K162&gt;0),"유리","불리")))</f>
        <v/>
      </c>
      <c r="N162" s="18" t="str">
        <f aca="false">IF($A162="","",IF(AND(ABS(F162)&gt;=설정!$B$5,OR(D162=0,ABS(IF(D162=0,0,F162/D162))&gt;=설정!$B$6)),"●",""))</f>
        <v/>
      </c>
      <c r="O162" s="31"/>
      <c r="P162" s="44" t="str">
        <f aca="false">IF($A162="","",IF(N162="","",B162&amp;": 당월 실적 "&amp;TEXT(E162,"#,##0")&amp;설정!$B$7&amp;"으로 예산 대비 "&amp;TEXT(ABS(F162),"#,##0")&amp;설정!$B$7&amp;"("&amp;IF(D162=0,"예산 없음",TEXT(ABS(G162),"0.0%"))&amp;") "&amp;IF(C162="매출",IF(F162&gt;0,"상회","하회"),IF(F162&gt;0,"초과","절감"))&amp;" ["&amp;H162&amp;"]. 원인: "&amp;IF(O162="","___",O162)))</f>
        <v/>
      </c>
      <c r="Q162" s="45" t="str">
        <f aca="false">IF($A162="","",IF(N162="●",ABS(F162)+ROW()/1000000,0))</f>
        <v/>
      </c>
    </row>
    <row r="163" customFormat="false" ht="15" hidden="false" customHeight="false" outlineLevel="0" collapsed="false">
      <c r="A163" s="43" t="str">
        <f aca="false">IF(예산!A163="","",예산!A163)</f>
        <v/>
      </c>
      <c r="B163" s="43" t="str">
        <f aca="false">IF(예산!B163="","",예산!B163)</f>
        <v/>
      </c>
      <c r="C163" s="43" t="str">
        <f aca="false">IF(예산!C163="","",예산!C163)</f>
        <v/>
      </c>
      <c r="D163" s="9" t="str">
        <f aca="false">IF($A163="","",SUMIFS(INDEX(예산!$D$5:$O$204,0,설정!$B$4),예산!$A$5:$A$204,$A163))</f>
        <v/>
      </c>
      <c r="E163" s="9" t="str">
        <f aca="false">IF($A163="","",SUMIFS(INDEX(실적!$D$5:$O$204,0,설정!$B$4),실적!$A$5:$A$204,$A163))</f>
        <v/>
      </c>
      <c r="F163" s="9" t="str">
        <f aca="false">IF($A163="","",E163-D163)</f>
        <v/>
      </c>
      <c r="G163" s="10" t="str">
        <f aca="false">IF($A163="","",IF(D163=0,"n/a",F163/ABS(D163)))</f>
        <v/>
      </c>
      <c r="H163" s="11" t="str">
        <f aca="false">IF($A163="","",IF(F163=0,"-",IF((C163="매출")=(F163&gt;0),"유리","불리")))</f>
        <v/>
      </c>
      <c r="I163" s="9" t="str">
        <f aca="false">IF($A163="","",SUMPRODUCT((예산!$A$5:$A$204=$A163)*(COLUMN(예산!$D$4:$O$4)-COLUMN(예산!$D$4)+1&lt;=설정!$B$4)*예산!$D$5:$O$204))</f>
        <v/>
      </c>
      <c r="J163" s="9" t="str">
        <f aca="false">IF($A163="","",SUMPRODUCT((실적!$A$5:$A$204=$A163)*(COLUMN(실적!$D$4:$O$4)-COLUMN(실적!$D$4)+1&lt;=설정!$B$4)*실적!$D$5:$O$204))</f>
        <v/>
      </c>
      <c r="K163" s="9" t="str">
        <f aca="false">IF($A163="","",J163-I163)</f>
        <v/>
      </c>
      <c r="L163" s="10" t="str">
        <f aca="false">IF($A163="","",IF(I163=0,"n/a",K163/ABS(I163)))</f>
        <v/>
      </c>
      <c r="M163" s="11" t="str">
        <f aca="false">IF($A163="","",IF(K163=0,"-",IF((C163="매출")=(K163&gt;0),"유리","불리")))</f>
        <v/>
      </c>
      <c r="N163" s="18" t="str">
        <f aca="false">IF($A163="","",IF(AND(ABS(F163)&gt;=설정!$B$5,OR(D163=0,ABS(IF(D163=0,0,F163/D163))&gt;=설정!$B$6)),"●",""))</f>
        <v/>
      </c>
      <c r="O163" s="31"/>
      <c r="P163" s="44" t="str">
        <f aca="false">IF($A163="","",IF(N163="","",B163&amp;": 당월 실적 "&amp;TEXT(E163,"#,##0")&amp;설정!$B$7&amp;"으로 예산 대비 "&amp;TEXT(ABS(F163),"#,##0")&amp;설정!$B$7&amp;"("&amp;IF(D163=0,"예산 없음",TEXT(ABS(G163),"0.0%"))&amp;") "&amp;IF(C163="매출",IF(F163&gt;0,"상회","하회"),IF(F163&gt;0,"초과","절감"))&amp;" ["&amp;H163&amp;"]. 원인: "&amp;IF(O163="","___",O163)))</f>
        <v/>
      </c>
      <c r="Q163" s="45" t="str">
        <f aca="false">IF($A163="","",IF(N163="●",ABS(F163)+ROW()/1000000,0))</f>
        <v/>
      </c>
    </row>
    <row r="164" customFormat="false" ht="15" hidden="false" customHeight="false" outlineLevel="0" collapsed="false">
      <c r="A164" s="43" t="str">
        <f aca="false">IF(예산!A164="","",예산!A164)</f>
        <v/>
      </c>
      <c r="B164" s="43" t="str">
        <f aca="false">IF(예산!B164="","",예산!B164)</f>
        <v/>
      </c>
      <c r="C164" s="43" t="str">
        <f aca="false">IF(예산!C164="","",예산!C164)</f>
        <v/>
      </c>
      <c r="D164" s="9" t="str">
        <f aca="false">IF($A164="","",SUMIFS(INDEX(예산!$D$5:$O$204,0,설정!$B$4),예산!$A$5:$A$204,$A164))</f>
        <v/>
      </c>
      <c r="E164" s="9" t="str">
        <f aca="false">IF($A164="","",SUMIFS(INDEX(실적!$D$5:$O$204,0,설정!$B$4),실적!$A$5:$A$204,$A164))</f>
        <v/>
      </c>
      <c r="F164" s="9" t="str">
        <f aca="false">IF($A164="","",E164-D164)</f>
        <v/>
      </c>
      <c r="G164" s="10" t="str">
        <f aca="false">IF($A164="","",IF(D164=0,"n/a",F164/ABS(D164)))</f>
        <v/>
      </c>
      <c r="H164" s="11" t="str">
        <f aca="false">IF($A164="","",IF(F164=0,"-",IF((C164="매출")=(F164&gt;0),"유리","불리")))</f>
        <v/>
      </c>
      <c r="I164" s="9" t="str">
        <f aca="false">IF($A164="","",SUMPRODUCT((예산!$A$5:$A$204=$A164)*(COLUMN(예산!$D$4:$O$4)-COLUMN(예산!$D$4)+1&lt;=설정!$B$4)*예산!$D$5:$O$204))</f>
        <v/>
      </c>
      <c r="J164" s="9" t="str">
        <f aca="false">IF($A164="","",SUMPRODUCT((실적!$A$5:$A$204=$A164)*(COLUMN(실적!$D$4:$O$4)-COLUMN(실적!$D$4)+1&lt;=설정!$B$4)*실적!$D$5:$O$204))</f>
        <v/>
      </c>
      <c r="K164" s="9" t="str">
        <f aca="false">IF($A164="","",J164-I164)</f>
        <v/>
      </c>
      <c r="L164" s="10" t="str">
        <f aca="false">IF($A164="","",IF(I164=0,"n/a",K164/ABS(I164)))</f>
        <v/>
      </c>
      <c r="M164" s="11" t="str">
        <f aca="false">IF($A164="","",IF(K164=0,"-",IF((C164="매출")=(K164&gt;0),"유리","불리")))</f>
        <v/>
      </c>
      <c r="N164" s="18" t="str">
        <f aca="false">IF($A164="","",IF(AND(ABS(F164)&gt;=설정!$B$5,OR(D164=0,ABS(IF(D164=0,0,F164/D164))&gt;=설정!$B$6)),"●",""))</f>
        <v/>
      </c>
      <c r="O164" s="31"/>
      <c r="P164" s="44" t="str">
        <f aca="false">IF($A164="","",IF(N164="","",B164&amp;": 당월 실적 "&amp;TEXT(E164,"#,##0")&amp;설정!$B$7&amp;"으로 예산 대비 "&amp;TEXT(ABS(F164),"#,##0")&amp;설정!$B$7&amp;"("&amp;IF(D164=0,"예산 없음",TEXT(ABS(G164),"0.0%"))&amp;") "&amp;IF(C164="매출",IF(F164&gt;0,"상회","하회"),IF(F164&gt;0,"초과","절감"))&amp;" ["&amp;H164&amp;"]. 원인: "&amp;IF(O164="","___",O164)))</f>
        <v/>
      </c>
      <c r="Q164" s="45" t="str">
        <f aca="false">IF($A164="","",IF(N164="●",ABS(F164)+ROW()/1000000,0))</f>
        <v/>
      </c>
    </row>
    <row r="165" customFormat="false" ht="15" hidden="false" customHeight="false" outlineLevel="0" collapsed="false">
      <c r="A165" s="43" t="str">
        <f aca="false">IF(예산!A165="","",예산!A165)</f>
        <v/>
      </c>
      <c r="B165" s="43" t="str">
        <f aca="false">IF(예산!B165="","",예산!B165)</f>
        <v/>
      </c>
      <c r="C165" s="43" t="str">
        <f aca="false">IF(예산!C165="","",예산!C165)</f>
        <v/>
      </c>
      <c r="D165" s="9" t="str">
        <f aca="false">IF($A165="","",SUMIFS(INDEX(예산!$D$5:$O$204,0,설정!$B$4),예산!$A$5:$A$204,$A165))</f>
        <v/>
      </c>
      <c r="E165" s="9" t="str">
        <f aca="false">IF($A165="","",SUMIFS(INDEX(실적!$D$5:$O$204,0,설정!$B$4),실적!$A$5:$A$204,$A165))</f>
        <v/>
      </c>
      <c r="F165" s="9" t="str">
        <f aca="false">IF($A165="","",E165-D165)</f>
        <v/>
      </c>
      <c r="G165" s="10" t="str">
        <f aca="false">IF($A165="","",IF(D165=0,"n/a",F165/ABS(D165)))</f>
        <v/>
      </c>
      <c r="H165" s="11" t="str">
        <f aca="false">IF($A165="","",IF(F165=0,"-",IF((C165="매출")=(F165&gt;0),"유리","불리")))</f>
        <v/>
      </c>
      <c r="I165" s="9" t="str">
        <f aca="false">IF($A165="","",SUMPRODUCT((예산!$A$5:$A$204=$A165)*(COLUMN(예산!$D$4:$O$4)-COLUMN(예산!$D$4)+1&lt;=설정!$B$4)*예산!$D$5:$O$204))</f>
        <v/>
      </c>
      <c r="J165" s="9" t="str">
        <f aca="false">IF($A165="","",SUMPRODUCT((실적!$A$5:$A$204=$A165)*(COLUMN(실적!$D$4:$O$4)-COLUMN(실적!$D$4)+1&lt;=설정!$B$4)*실적!$D$5:$O$204))</f>
        <v/>
      </c>
      <c r="K165" s="9" t="str">
        <f aca="false">IF($A165="","",J165-I165)</f>
        <v/>
      </c>
      <c r="L165" s="10" t="str">
        <f aca="false">IF($A165="","",IF(I165=0,"n/a",K165/ABS(I165)))</f>
        <v/>
      </c>
      <c r="M165" s="11" t="str">
        <f aca="false">IF($A165="","",IF(K165=0,"-",IF((C165="매출")=(K165&gt;0),"유리","불리")))</f>
        <v/>
      </c>
      <c r="N165" s="18" t="str">
        <f aca="false">IF($A165="","",IF(AND(ABS(F165)&gt;=설정!$B$5,OR(D165=0,ABS(IF(D165=0,0,F165/D165))&gt;=설정!$B$6)),"●",""))</f>
        <v/>
      </c>
      <c r="O165" s="31"/>
      <c r="P165" s="44" t="str">
        <f aca="false">IF($A165="","",IF(N165="","",B165&amp;": 당월 실적 "&amp;TEXT(E165,"#,##0")&amp;설정!$B$7&amp;"으로 예산 대비 "&amp;TEXT(ABS(F165),"#,##0")&amp;설정!$B$7&amp;"("&amp;IF(D165=0,"예산 없음",TEXT(ABS(G165),"0.0%"))&amp;") "&amp;IF(C165="매출",IF(F165&gt;0,"상회","하회"),IF(F165&gt;0,"초과","절감"))&amp;" ["&amp;H165&amp;"]. 원인: "&amp;IF(O165="","___",O165)))</f>
        <v/>
      </c>
      <c r="Q165" s="45" t="str">
        <f aca="false">IF($A165="","",IF(N165="●",ABS(F165)+ROW()/1000000,0))</f>
        <v/>
      </c>
    </row>
    <row r="166" customFormat="false" ht="15" hidden="false" customHeight="false" outlineLevel="0" collapsed="false">
      <c r="A166" s="43" t="str">
        <f aca="false">IF(예산!A166="","",예산!A166)</f>
        <v/>
      </c>
      <c r="B166" s="43" t="str">
        <f aca="false">IF(예산!B166="","",예산!B166)</f>
        <v/>
      </c>
      <c r="C166" s="43" t="str">
        <f aca="false">IF(예산!C166="","",예산!C166)</f>
        <v/>
      </c>
      <c r="D166" s="9" t="str">
        <f aca="false">IF($A166="","",SUMIFS(INDEX(예산!$D$5:$O$204,0,설정!$B$4),예산!$A$5:$A$204,$A166))</f>
        <v/>
      </c>
      <c r="E166" s="9" t="str">
        <f aca="false">IF($A166="","",SUMIFS(INDEX(실적!$D$5:$O$204,0,설정!$B$4),실적!$A$5:$A$204,$A166))</f>
        <v/>
      </c>
      <c r="F166" s="9" t="str">
        <f aca="false">IF($A166="","",E166-D166)</f>
        <v/>
      </c>
      <c r="G166" s="10" t="str">
        <f aca="false">IF($A166="","",IF(D166=0,"n/a",F166/ABS(D166)))</f>
        <v/>
      </c>
      <c r="H166" s="11" t="str">
        <f aca="false">IF($A166="","",IF(F166=0,"-",IF((C166="매출")=(F166&gt;0),"유리","불리")))</f>
        <v/>
      </c>
      <c r="I166" s="9" t="str">
        <f aca="false">IF($A166="","",SUMPRODUCT((예산!$A$5:$A$204=$A166)*(COLUMN(예산!$D$4:$O$4)-COLUMN(예산!$D$4)+1&lt;=설정!$B$4)*예산!$D$5:$O$204))</f>
        <v/>
      </c>
      <c r="J166" s="9" t="str">
        <f aca="false">IF($A166="","",SUMPRODUCT((실적!$A$5:$A$204=$A166)*(COLUMN(실적!$D$4:$O$4)-COLUMN(실적!$D$4)+1&lt;=설정!$B$4)*실적!$D$5:$O$204))</f>
        <v/>
      </c>
      <c r="K166" s="9" t="str">
        <f aca="false">IF($A166="","",J166-I166)</f>
        <v/>
      </c>
      <c r="L166" s="10" t="str">
        <f aca="false">IF($A166="","",IF(I166=0,"n/a",K166/ABS(I166)))</f>
        <v/>
      </c>
      <c r="M166" s="11" t="str">
        <f aca="false">IF($A166="","",IF(K166=0,"-",IF((C166="매출")=(K166&gt;0),"유리","불리")))</f>
        <v/>
      </c>
      <c r="N166" s="18" t="str">
        <f aca="false">IF($A166="","",IF(AND(ABS(F166)&gt;=설정!$B$5,OR(D166=0,ABS(IF(D166=0,0,F166/D166))&gt;=설정!$B$6)),"●",""))</f>
        <v/>
      </c>
      <c r="O166" s="31"/>
      <c r="P166" s="44" t="str">
        <f aca="false">IF($A166="","",IF(N166="","",B166&amp;": 당월 실적 "&amp;TEXT(E166,"#,##0")&amp;설정!$B$7&amp;"으로 예산 대비 "&amp;TEXT(ABS(F166),"#,##0")&amp;설정!$B$7&amp;"("&amp;IF(D166=0,"예산 없음",TEXT(ABS(G166),"0.0%"))&amp;") "&amp;IF(C166="매출",IF(F166&gt;0,"상회","하회"),IF(F166&gt;0,"초과","절감"))&amp;" ["&amp;H166&amp;"]. 원인: "&amp;IF(O166="","___",O166)))</f>
        <v/>
      </c>
      <c r="Q166" s="45" t="str">
        <f aca="false">IF($A166="","",IF(N166="●",ABS(F166)+ROW()/1000000,0))</f>
        <v/>
      </c>
    </row>
    <row r="167" customFormat="false" ht="15" hidden="false" customHeight="false" outlineLevel="0" collapsed="false">
      <c r="A167" s="43" t="str">
        <f aca="false">IF(예산!A167="","",예산!A167)</f>
        <v/>
      </c>
      <c r="B167" s="43" t="str">
        <f aca="false">IF(예산!B167="","",예산!B167)</f>
        <v/>
      </c>
      <c r="C167" s="43" t="str">
        <f aca="false">IF(예산!C167="","",예산!C167)</f>
        <v/>
      </c>
      <c r="D167" s="9" t="str">
        <f aca="false">IF($A167="","",SUMIFS(INDEX(예산!$D$5:$O$204,0,설정!$B$4),예산!$A$5:$A$204,$A167))</f>
        <v/>
      </c>
      <c r="E167" s="9" t="str">
        <f aca="false">IF($A167="","",SUMIFS(INDEX(실적!$D$5:$O$204,0,설정!$B$4),실적!$A$5:$A$204,$A167))</f>
        <v/>
      </c>
      <c r="F167" s="9" t="str">
        <f aca="false">IF($A167="","",E167-D167)</f>
        <v/>
      </c>
      <c r="G167" s="10" t="str">
        <f aca="false">IF($A167="","",IF(D167=0,"n/a",F167/ABS(D167)))</f>
        <v/>
      </c>
      <c r="H167" s="11" t="str">
        <f aca="false">IF($A167="","",IF(F167=0,"-",IF((C167="매출")=(F167&gt;0),"유리","불리")))</f>
        <v/>
      </c>
      <c r="I167" s="9" t="str">
        <f aca="false">IF($A167="","",SUMPRODUCT((예산!$A$5:$A$204=$A167)*(COLUMN(예산!$D$4:$O$4)-COLUMN(예산!$D$4)+1&lt;=설정!$B$4)*예산!$D$5:$O$204))</f>
        <v/>
      </c>
      <c r="J167" s="9" t="str">
        <f aca="false">IF($A167="","",SUMPRODUCT((실적!$A$5:$A$204=$A167)*(COLUMN(실적!$D$4:$O$4)-COLUMN(실적!$D$4)+1&lt;=설정!$B$4)*실적!$D$5:$O$204))</f>
        <v/>
      </c>
      <c r="K167" s="9" t="str">
        <f aca="false">IF($A167="","",J167-I167)</f>
        <v/>
      </c>
      <c r="L167" s="10" t="str">
        <f aca="false">IF($A167="","",IF(I167=0,"n/a",K167/ABS(I167)))</f>
        <v/>
      </c>
      <c r="M167" s="11" t="str">
        <f aca="false">IF($A167="","",IF(K167=0,"-",IF((C167="매출")=(K167&gt;0),"유리","불리")))</f>
        <v/>
      </c>
      <c r="N167" s="18" t="str">
        <f aca="false">IF($A167="","",IF(AND(ABS(F167)&gt;=설정!$B$5,OR(D167=0,ABS(IF(D167=0,0,F167/D167))&gt;=설정!$B$6)),"●",""))</f>
        <v/>
      </c>
      <c r="O167" s="31"/>
      <c r="P167" s="44" t="str">
        <f aca="false">IF($A167="","",IF(N167="","",B167&amp;": 당월 실적 "&amp;TEXT(E167,"#,##0")&amp;설정!$B$7&amp;"으로 예산 대비 "&amp;TEXT(ABS(F167),"#,##0")&amp;설정!$B$7&amp;"("&amp;IF(D167=0,"예산 없음",TEXT(ABS(G167),"0.0%"))&amp;") "&amp;IF(C167="매출",IF(F167&gt;0,"상회","하회"),IF(F167&gt;0,"초과","절감"))&amp;" ["&amp;H167&amp;"]. 원인: "&amp;IF(O167="","___",O167)))</f>
        <v/>
      </c>
      <c r="Q167" s="45" t="str">
        <f aca="false">IF($A167="","",IF(N167="●",ABS(F167)+ROW()/1000000,0))</f>
        <v/>
      </c>
    </row>
    <row r="168" customFormat="false" ht="15" hidden="false" customHeight="false" outlineLevel="0" collapsed="false">
      <c r="A168" s="43" t="str">
        <f aca="false">IF(예산!A168="","",예산!A168)</f>
        <v/>
      </c>
      <c r="B168" s="43" t="str">
        <f aca="false">IF(예산!B168="","",예산!B168)</f>
        <v/>
      </c>
      <c r="C168" s="43" t="str">
        <f aca="false">IF(예산!C168="","",예산!C168)</f>
        <v/>
      </c>
      <c r="D168" s="9" t="str">
        <f aca="false">IF($A168="","",SUMIFS(INDEX(예산!$D$5:$O$204,0,설정!$B$4),예산!$A$5:$A$204,$A168))</f>
        <v/>
      </c>
      <c r="E168" s="9" t="str">
        <f aca="false">IF($A168="","",SUMIFS(INDEX(실적!$D$5:$O$204,0,설정!$B$4),실적!$A$5:$A$204,$A168))</f>
        <v/>
      </c>
      <c r="F168" s="9" t="str">
        <f aca="false">IF($A168="","",E168-D168)</f>
        <v/>
      </c>
      <c r="G168" s="10" t="str">
        <f aca="false">IF($A168="","",IF(D168=0,"n/a",F168/ABS(D168)))</f>
        <v/>
      </c>
      <c r="H168" s="11" t="str">
        <f aca="false">IF($A168="","",IF(F168=0,"-",IF((C168="매출")=(F168&gt;0),"유리","불리")))</f>
        <v/>
      </c>
      <c r="I168" s="9" t="str">
        <f aca="false">IF($A168="","",SUMPRODUCT((예산!$A$5:$A$204=$A168)*(COLUMN(예산!$D$4:$O$4)-COLUMN(예산!$D$4)+1&lt;=설정!$B$4)*예산!$D$5:$O$204))</f>
        <v/>
      </c>
      <c r="J168" s="9" t="str">
        <f aca="false">IF($A168="","",SUMPRODUCT((실적!$A$5:$A$204=$A168)*(COLUMN(실적!$D$4:$O$4)-COLUMN(실적!$D$4)+1&lt;=설정!$B$4)*실적!$D$5:$O$204))</f>
        <v/>
      </c>
      <c r="K168" s="9" t="str">
        <f aca="false">IF($A168="","",J168-I168)</f>
        <v/>
      </c>
      <c r="L168" s="10" t="str">
        <f aca="false">IF($A168="","",IF(I168=0,"n/a",K168/ABS(I168)))</f>
        <v/>
      </c>
      <c r="M168" s="11" t="str">
        <f aca="false">IF($A168="","",IF(K168=0,"-",IF((C168="매출")=(K168&gt;0),"유리","불리")))</f>
        <v/>
      </c>
      <c r="N168" s="18" t="str">
        <f aca="false">IF($A168="","",IF(AND(ABS(F168)&gt;=설정!$B$5,OR(D168=0,ABS(IF(D168=0,0,F168/D168))&gt;=설정!$B$6)),"●",""))</f>
        <v/>
      </c>
      <c r="O168" s="31"/>
      <c r="P168" s="44" t="str">
        <f aca="false">IF($A168="","",IF(N168="","",B168&amp;": 당월 실적 "&amp;TEXT(E168,"#,##0")&amp;설정!$B$7&amp;"으로 예산 대비 "&amp;TEXT(ABS(F168),"#,##0")&amp;설정!$B$7&amp;"("&amp;IF(D168=0,"예산 없음",TEXT(ABS(G168),"0.0%"))&amp;") "&amp;IF(C168="매출",IF(F168&gt;0,"상회","하회"),IF(F168&gt;0,"초과","절감"))&amp;" ["&amp;H168&amp;"]. 원인: "&amp;IF(O168="","___",O168)))</f>
        <v/>
      </c>
      <c r="Q168" s="45" t="str">
        <f aca="false">IF($A168="","",IF(N168="●",ABS(F168)+ROW()/1000000,0))</f>
        <v/>
      </c>
    </row>
    <row r="169" customFormat="false" ht="15" hidden="false" customHeight="false" outlineLevel="0" collapsed="false">
      <c r="A169" s="43" t="str">
        <f aca="false">IF(예산!A169="","",예산!A169)</f>
        <v/>
      </c>
      <c r="B169" s="43" t="str">
        <f aca="false">IF(예산!B169="","",예산!B169)</f>
        <v/>
      </c>
      <c r="C169" s="43" t="str">
        <f aca="false">IF(예산!C169="","",예산!C169)</f>
        <v/>
      </c>
      <c r="D169" s="9" t="str">
        <f aca="false">IF($A169="","",SUMIFS(INDEX(예산!$D$5:$O$204,0,설정!$B$4),예산!$A$5:$A$204,$A169))</f>
        <v/>
      </c>
      <c r="E169" s="9" t="str">
        <f aca="false">IF($A169="","",SUMIFS(INDEX(실적!$D$5:$O$204,0,설정!$B$4),실적!$A$5:$A$204,$A169))</f>
        <v/>
      </c>
      <c r="F169" s="9" t="str">
        <f aca="false">IF($A169="","",E169-D169)</f>
        <v/>
      </c>
      <c r="G169" s="10" t="str">
        <f aca="false">IF($A169="","",IF(D169=0,"n/a",F169/ABS(D169)))</f>
        <v/>
      </c>
      <c r="H169" s="11" t="str">
        <f aca="false">IF($A169="","",IF(F169=0,"-",IF((C169="매출")=(F169&gt;0),"유리","불리")))</f>
        <v/>
      </c>
      <c r="I169" s="9" t="str">
        <f aca="false">IF($A169="","",SUMPRODUCT((예산!$A$5:$A$204=$A169)*(COLUMN(예산!$D$4:$O$4)-COLUMN(예산!$D$4)+1&lt;=설정!$B$4)*예산!$D$5:$O$204))</f>
        <v/>
      </c>
      <c r="J169" s="9" t="str">
        <f aca="false">IF($A169="","",SUMPRODUCT((실적!$A$5:$A$204=$A169)*(COLUMN(실적!$D$4:$O$4)-COLUMN(실적!$D$4)+1&lt;=설정!$B$4)*실적!$D$5:$O$204))</f>
        <v/>
      </c>
      <c r="K169" s="9" t="str">
        <f aca="false">IF($A169="","",J169-I169)</f>
        <v/>
      </c>
      <c r="L169" s="10" t="str">
        <f aca="false">IF($A169="","",IF(I169=0,"n/a",K169/ABS(I169)))</f>
        <v/>
      </c>
      <c r="M169" s="11" t="str">
        <f aca="false">IF($A169="","",IF(K169=0,"-",IF((C169="매출")=(K169&gt;0),"유리","불리")))</f>
        <v/>
      </c>
      <c r="N169" s="18" t="str">
        <f aca="false">IF($A169="","",IF(AND(ABS(F169)&gt;=설정!$B$5,OR(D169=0,ABS(IF(D169=0,0,F169/D169))&gt;=설정!$B$6)),"●",""))</f>
        <v/>
      </c>
      <c r="O169" s="31"/>
      <c r="P169" s="44" t="str">
        <f aca="false">IF($A169="","",IF(N169="","",B169&amp;": 당월 실적 "&amp;TEXT(E169,"#,##0")&amp;설정!$B$7&amp;"으로 예산 대비 "&amp;TEXT(ABS(F169),"#,##0")&amp;설정!$B$7&amp;"("&amp;IF(D169=0,"예산 없음",TEXT(ABS(G169),"0.0%"))&amp;") "&amp;IF(C169="매출",IF(F169&gt;0,"상회","하회"),IF(F169&gt;0,"초과","절감"))&amp;" ["&amp;H169&amp;"]. 원인: "&amp;IF(O169="","___",O169)))</f>
        <v/>
      </c>
      <c r="Q169" s="45" t="str">
        <f aca="false">IF($A169="","",IF(N169="●",ABS(F169)+ROW()/1000000,0))</f>
        <v/>
      </c>
    </row>
    <row r="170" customFormat="false" ht="15" hidden="false" customHeight="false" outlineLevel="0" collapsed="false">
      <c r="A170" s="43" t="str">
        <f aca="false">IF(예산!A170="","",예산!A170)</f>
        <v/>
      </c>
      <c r="B170" s="43" t="str">
        <f aca="false">IF(예산!B170="","",예산!B170)</f>
        <v/>
      </c>
      <c r="C170" s="43" t="str">
        <f aca="false">IF(예산!C170="","",예산!C170)</f>
        <v/>
      </c>
      <c r="D170" s="9" t="str">
        <f aca="false">IF($A170="","",SUMIFS(INDEX(예산!$D$5:$O$204,0,설정!$B$4),예산!$A$5:$A$204,$A170))</f>
        <v/>
      </c>
      <c r="E170" s="9" t="str">
        <f aca="false">IF($A170="","",SUMIFS(INDEX(실적!$D$5:$O$204,0,설정!$B$4),실적!$A$5:$A$204,$A170))</f>
        <v/>
      </c>
      <c r="F170" s="9" t="str">
        <f aca="false">IF($A170="","",E170-D170)</f>
        <v/>
      </c>
      <c r="G170" s="10" t="str">
        <f aca="false">IF($A170="","",IF(D170=0,"n/a",F170/ABS(D170)))</f>
        <v/>
      </c>
      <c r="H170" s="11" t="str">
        <f aca="false">IF($A170="","",IF(F170=0,"-",IF((C170="매출")=(F170&gt;0),"유리","불리")))</f>
        <v/>
      </c>
      <c r="I170" s="9" t="str">
        <f aca="false">IF($A170="","",SUMPRODUCT((예산!$A$5:$A$204=$A170)*(COLUMN(예산!$D$4:$O$4)-COLUMN(예산!$D$4)+1&lt;=설정!$B$4)*예산!$D$5:$O$204))</f>
        <v/>
      </c>
      <c r="J170" s="9" t="str">
        <f aca="false">IF($A170="","",SUMPRODUCT((실적!$A$5:$A$204=$A170)*(COLUMN(실적!$D$4:$O$4)-COLUMN(실적!$D$4)+1&lt;=설정!$B$4)*실적!$D$5:$O$204))</f>
        <v/>
      </c>
      <c r="K170" s="9" t="str">
        <f aca="false">IF($A170="","",J170-I170)</f>
        <v/>
      </c>
      <c r="L170" s="10" t="str">
        <f aca="false">IF($A170="","",IF(I170=0,"n/a",K170/ABS(I170)))</f>
        <v/>
      </c>
      <c r="M170" s="11" t="str">
        <f aca="false">IF($A170="","",IF(K170=0,"-",IF((C170="매출")=(K170&gt;0),"유리","불리")))</f>
        <v/>
      </c>
      <c r="N170" s="18" t="str">
        <f aca="false">IF($A170="","",IF(AND(ABS(F170)&gt;=설정!$B$5,OR(D170=0,ABS(IF(D170=0,0,F170/D170))&gt;=설정!$B$6)),"●",""))</f>
        <v/>
      </c>
      <c r="O170" s="31"/>
      <c r="P170" s="44" t="str">
        <f aca="false">IF($A170="","",IF(N170="","",B170&amp;": 당월 실적 "&amp;TEXT(E170,"#,##0")&amp;설정!$B$7&amp;"으로 예산 대비 "&amp;TEXT(ABS(F170),"#,##0")&amp;설정!$B$7&amp;"("&amp;IF(D170=0,"예산 없음",TEXT(ABS(G170),"0.0%"))&amp;") "&amp;IF(C170="매출",IF(F170&gt;0,"상회","하회"),IF(F170&gt;0,"초과","절감"))&amp;" ["&amp;H170&amp;"]. 원인: "&amp;IF(O170="","___",O170)))</f>
        <v/>
      </c>
      <c r="Q170" s="45" t="str">
        <f aca="false">IF($A170="","",IF(N170="●",ABS(F170)+ROW()/1000000,0))</f>
        <v/>
      </c>
    </row>
    <row r="171" customFormat="false" ht="15" hidden="false" customHeight="false" outlineLevel="0" collapsed="false">
      <c r="A171" s="43" t="str">
        <f aca="false">IF(예산!A171="","",예산!A171)</f>
        <v/>
      </c>
      <c r="B171" s="43" t="str">
        <f aca="false">IF(예산!B171="","",예산!B171)</f>
        <v/>
      </c>
      <c r="C171" s="43" t="str">
        <f aca="false">IF(예산!C171="","",예산!C171)</f>
        <v/>
      </c>
      <c r="D171" s="9" t="str">
        <f aca="false">IF($A171="","",SUMIFS(INDEX(예산!$D$5:$O$204,0,설정!$B$4),예산!$A$5:$A$204,$A171))</f>
        <v/>
      </c>
      <c r="E171" s="9" t="str">
        <f aca="false">IF($A171="","",SUMIFS(INDEX(실적!$D$5:$O$204,0,설정!$B$4),실적!$A$5:$A$204,$A171))</f>
        <v/>
      </c>
      <c r="F171" s="9" t="str">
        <f aca="false">IF($A171="","",E171-D171)</f>
        <v/>
      </c>
      <c r="G171" s="10" t="str">
        <f aca="false">IF($A171="","",IF(D171=0,"n/a",F171/ABS(D171)))</f>
        <v/>
      </c>
      <c r="H171" s="11" t="str">
        <f aca="false">IF($A171="","",IF(F171=0,"-",IF((C171="매출")=(F171&gt;0),"유리","불리")))</f>
        <v/>
      </c>
      <c r="I171" s="9" t="str">
        <f aca="false">IF($A171="","",SUMPRODUCT((예산!$A$5:$A$204=$A171)*(COLUMN(예산!$D$4:$O$4)-COLUMN(예산!$D$4)+1&lt;=설정!$B$4)*예산!$D$5:$O$204))</f>
        <v/>
      </c>
      <c r="J171" s="9" t="str">
        <f aca="false">IF($A171="","",SUMPRODUCT((실적!$A$5:$A$204=$A171)*(COLUMN(실적!$D$4:$O$4)-COLUMN(실적!$D$4)+1&lt;=설정!$B$4)*실적!$D$5:$O$204))</f>
        <v/>
      </c>
      <c r="K171" s="9" t="str">
        <f aca="false">IF($A171="","",J171-I171)</f>
        <v/>
      </c>
      <c r="L171" s="10" t="str">
        <f aca="false">IF($A171="","",IF(I171=0,"n/a",K171/ABS(I171)))</f>
        <v/>
      </c>
      <c r="M171" s="11" t="str">
        <f aca="false">IF($A171="","",IF(K171=0,"-",IF((C171="매출")=(K171&gt;0),"유리","불리")))</f>
        <v/>
      </c>
      <c r="N171" s="18" t="str">
        <f aca="false">IF($A171="","",IF(AND(ABS(F171)&gt;=설정!$B$5,OR(D171=0,ABS(IF(D171=0,0,F171/D171))&gt;=설정!$B$6)),"●",""))</f>
        <v/>
      </c>
      <c r="O171" s="31"/>
      <c r="P171" s="44" t="str">
        <f aca="false">IF($A171="","",IF(N171="","",B171&amp;": 당월 실적 "&amp;TEXT(E171,"#,##0")&amp;설정!$B$7&amp;"으로 예산 대비 "&amp;TEXT(ABS(F171),"#,##0")&amp;설정!$B$7&amp;"("&amp;IF(D171=0,"예산 없음",TEXT(ABS(G171),"0.0%"))&amp;") "&amp;IF(C171="매출",IF(F171&gt;0,"상회","하회"),IF(F171&gt;0,"초과","절감"))&amp;" ["&amp;H171&amp;"]. 원인: "&amp;IF(O171="","___",O171)))</f>
        <v/>
      </c>
      <c r="Q171" s="45" t="str">
        <f aca="false">IF($A171="","",IF(N171="●",ABS(F171)+ROW()/1000000,0))</f>
        <v/>
      </c>
    </row>
    <row r="172" customFormat="false" ht="15" hidden="false" customHeight="false" outlineLevel="0" collapsed="false">
      <c r="A172" s="43" t="str">
        <f aca="false">IF(예산!A172="","",예산!A172)</f>
        <v/>
      </c>
      <c r="B172" s="43" t="str">
        <f aca="false">IF(예산!B172="","",예산!B172)</f>
        <v/>
      </c>
      <c r="C172" s="43" t="str">
        <f aca="false">IF(예산!C172="","",예산!C172)</f>
        <v/>
      </c>
      <c r="D172" s="9" t="str">
        <f aca="false">IF($A172="","",SUMIFS(INDEX(예산!$D$5:$O$204,0,설정!$B$4),예산!$A$5:$A$204,$A172))</f>
        <v/>
      </c>
      <c r="E172" s="9" t="str">
        <f aca="false">IF($A172="","",SUMIFS(INDEX(실적!$D$5:$O$204,0,설정!$B$4),실적!$A$5:$A$204,$A172))</f>
        <v/>
      </c>
      <c r="F172" s="9" t="str">
        <f aca="false">IF($A172="","",E172-D172)</f>
        <v/>
      </c>
      <c r="G172" s="10" t="str">
        <f aca="false">IF($A172="","",IF(D172=0,"n/a",F172/ABS(D172)))</f>
        <v/>
      </c>
      <c r="H172" s="11" t="str">
        <f aca="false">IF($A172="","",IF(F172=0,"-",IF((C172="매출")=(F172&gt;0),"유리","불리")))</f>
        <v/>
      </c>
      <c r="I172" s="9" t="str">
        <f aca="false">IF($A172="","",SUMPRODUCT((예산!$A$5:$A$204=$A172)*(COLUMN(예산!$D$4:$O$4)-COLUMN(예산!$D$4)+1&lt;=설정!$B$4)*예산!$D$5:$O$204))</f>
        <v/>
      </c>
      <c r="J172" s="9" t="str">
        <f aca="false">IF($A172="","",SUMPRODUCT((실적!$A$5:$A$204=$A172)*(COLUMN(실적!$D$4:$O$4)-COLUMN(실적!$D$4)+1&lt;=설정!$B$4)*실적!$D$5:$O$204))</f>
        <v/>
      </c>
      <c r="K172" s="9" t="str">
        <f aca="false">IF($A172="","",J172-I172)</f>
        <v/>
      </c>
      <c r="L172" s="10" t="str">
        <f aca="false">IF($A172="","",IF(I172=0,"n/a",K172/ABS(I172)))</f>
        <v/>
      </c>
      <c r="M172" s="11" t="str">
        <f aca="false">IF($A172="","",IF(K172=0,"-",IF((C172="매출")=(K172&gt;0),"유리","불리")))</f>
        <v/>
      </c>
      <c r="N172" s="18" t="str">
        <f aca="false">IF($A172="","",IF(AND(ABS(F172)&gt;=설정!$B$5,OR(D172=0,ABS(IF(D172=0,0,F172/D172))&gt;=설정!$B$6)),"●",""))</f>
        <v/>
      </c>
      <c r="O172" s="31"/>
      <c r="P172" s="44" t="str">
        <f aca="false">IF($A172="","",IF(N172="","",B172&amp;": 당월 실적 "&amp;TEXT(E172,"#,##0")&amp;설정!$B$7&amp;"으로 예산 대비 "&amp;TEXT(ABS(F172),"#,##0")&amp;설정!$B$7&amp;"("&amp;IF(D172=0,"예산 없음",TEXT(ABS(G172),"0.0%"))&amp;") "&amp;IF(C172="매출",IF(F172&gt;0,"상회","하회"),IF(F172&gt;0,"초과","절감"))&amp;" ["&amp;H172&amp;"]. 원인: "&amp;IF(O172="","___",O172)))</f>
        <v/>
      </c>
      <c r="Q172" s="45" t="str">
        <f aca="false">IF($A172="","",IF(N172="●",ABS(F172)+ROW()/1000000,0))</f>
        <v/>
      </c>
    </row>
    <row r="173" customFormat="false" ht="15" hidden="false" customHeight="false" outlineLevel="0" collapsed="false">
      <c r="A173" s="43" t="str">
        <f aca="false">IF(예산!A173="","",예산!A173)</f>
        <v/>
      </c>
      <c r="B173" s="43" t="str">
        <f aca="false">IF(예산!B173="","",예산!B173)</f>
        <v/>
      </c>
      <c r="C173" s="43" t="str">
        <f aca="false">IF(예산!C173="","",예산!C173)</f>
        <v/>
      </c>
      <c r="D173" s="9" t="str">
        <f aca="false">IF($A173="","",SUMIFS(INDEX(예산!$D$5:$O$204,0,설정!$B$4),예산!$A$5:$A$204,$A173))</f>
        <v/>
      </c>
      <c r="E173" s="9" t="str">
        <f aca="false">IF($A173="","",SUMIFS(INDEX(실적!$D$5:$O$204,0,설정!$B$4),실적!$A$5:$A$204,$A173))</f>
        <v/>
      </c>
      <c r="F173" s="9" t="str">
        <f aca="false">IF($A173="","",E173-D173)</f>
        <v/>
      </c>
      <c r="G173" s="10" t="str">
        <f aca="false">IF($A173="","",IF(D173=0,"n/a",F173/ABS(D173)))</f>
        <v/>
      </c>
      <c r="H173" s="11" t="str">
        <f aca="false">IF($A173="","",IF(F173=0,"-",IF((C173="매출")=(F173&gt;0),"유리","불리")))</f>
        <v/>
      </c>
      <c r="I173" s="9" t="str">
        <f aca="false">IF($A173="","",SUMPRODUCT((예산!$A$5:$A$204=$A173)*(COLUMN(예산!$D$4:$O$4)-COLUMN(예산!$D$4)+1&lt;=설정!$B$4)*예산!$D$5:$O$204))</f>
        <v/>
      </c>
      <c r="J173" s="9" t="str">
        <f aca="false">IF($A173="","",SUMPRODUCT((실적!$A$5:$A$204=$A173)*(COLUMN(실적!$D$4:$O$4)-COLUMN(실적!$D$4)+1&lt;=설정!$B$4)*실적!$D$5:$O$204))</f>
        <v/>
      </c>
      <c r="K173" s="9" t="str">
        <f aca="false">IF($A173="","",J173-I173)</f>
        <v/>
      </c>
      <c r="L173" s="10" t="str">
        <f aca="false">IF($A173="","",IF(I173=0,"n/a",K173/ABS(I173)))</f>
        <v/>
      </c>
      <c r="M173" s="11" t="str">
        <f aca="false">IF($A173="","",IF(K173=0,"-",IF((C173="매출")=(K173&gt;0),"유리","불리")))</f>
        <v/>
      </c>
      <c r="N173" s="18" t="str">
        <f aca="false">IF($A173="","",IF(AND(ABS(F173)&gt;=설정!$B$5,OR(D173=0,ABS(IF(D173=0,0,F173/D173))&gt;=설정!$B$6)),"●",""))</f>
        <v/>
      </c>
      <c r="O173" s="31"/>
      <c r="P173" s="44" t="str">
        <f aca="false">IF($A173="","",IF(N173="","",B173&amp;": 당월 실적 "&amp;TEXT(E173,"#,##0")&amp;설정!$B$7&amp;"으로 예산 대비 "&amp;TEXT(ABS(F173),"#,##0")&amp;설정!$B$7&amp;"("&amp;IF(D173=0,"예산 없음",TEXT(ABS(G173),"0.0%"))&amp;") "&amp;IF(C173="매출",IF(F173&gt;0,"상회","하회"),IF(F173&gt;0,"초과","절감"))&amp;" ["&amp;H173&amp;"]. 원인: "&amp;IF(O173="","___",O173)))</f>
        <v/>
      </c>
      <c r="Q173" s="45" t="str">
        <f aca="false">IF($A173="","",IF(N173="●",ABS(F173)+ROW()/1000000,0))</f>
        <v/>
      </c>
    </row>
    <row r="174" customFormat="false" ht="15" hidden="false" customHeight="false" outlineLevel="0" collapsed="false">
      <c r="A174" s="43" t="str">
        <f aca="false">IF(예산!A174="","",예산!A174)</f>
        <v/>
      </c>
      <c r="B174" s="43" t="str">
        <f aca="false">IF(예산!B174="","",예산!B174)</f>
        <v/>
      </c>
      <c r="C174" s="43" t="str">
        <f aca="false">IF(예산!C174="","",예산!C174)</f>
        <v/>
      </c>
      <c r="D174" s="9" t="str">
        <f aca="false">IF($A174="","",SUMIFS(INDEX(예산!$D$5:$O$204,0,설정!$B$4),예산!$A$5:$A$204,$A174))</f>
        <v/>
      </c>
      <c r="E174" s="9" t="str">
        <f aca="false">IF($A174="","",SUMIFS(INDEX(실적!$D$5:$O$204,0,설정!$B$4),실적!$A$5:$A$204,$A174))</f>
        <v/>
      </c>
      <c r="F174" s="9" t="str">
        <f aca="false">IF($A174="","",E174-D174)</f>
        <v/>
      </c>
      <c r="G174" s="10" t="str">
        <f aca="false">IF($A174="","",IF(D174=0,"n/a",F174/ABS(D174)))</f>
        <v/>
      </c>
      <c r="H174" s="11" t="str">
        <f aca="false">IF($A174="","",IF(F174=0,"-",IF((C174="매출")=(F174&gt;0),"유리","불리")))</f>
        <v/>
      </c>
      <c r="I174" s="9" t="str">
        <f aca="false">IF($A174="","",SUMPRODUCT((예산!$A$5:$A$204=$A174)*(COLUMN(예산!$D$4:$O$4)-COLUMN(예산!$D$4)+1&lt;=설정!$B$4)*예산!$D$5:$O$204))</f>
        <v/>
      </c>
      <c r="J174" s="9" t="str">
        <f aca="false">IF($A174="","",SUMPRODUCT((실적!$A$5:$A$204=$A174)*(COLUMN(실적!$D$4:$O$4)-COLUMN(실적!$D$4)+1&lt;=설정!$B$4)*실적!$D$5:$O$204))</f>
        <v/>
      </c>
      <c r="K174" s="9" t="str">
        <f aca="false">IF($A174="","",J174-I174)</f>
        <v/>
      </c>
      <c r="L174" s="10" t="str">
        <f aca="false">IF($A174="","",IF(I174=0,"n/a",K174/ABS(I174)))</f>
        <v/>
      </c>
      <c r="M174" s="11" t="str">
        <f aca="false">IF($A174="","",IF(K174=0,"-",IF((C174="매출")=(K174&gt;0),"유리","불리")))</f>
        <v/>
      </c>
      <c r="N174" s="18" t="str">
        <f aca="false">IF($A174="","",IF(AND(ABS(F174)&gt;=설정!$B$5,OR(D174=0,ABS(IF(D174=0,0,F174/D174))&gt;=설정!$B$6)),"●",""))</f>
        <v/>
      </c>
      <c r="O174" s="31"/>
      <c r="P174" s="44" t="str">
        <f aca="false">IF($A174="","",IF(N174="","",B174&amp;": 당월 실적 "&amp;TEXT(E174,"#,##0")&amp;설정!$B$7&amp;"으로 예산 대비 "&amp;TEXT(ABS(F174),"#,##0")&amp;설정!$B$7&amp;"("&amp;IF(D174=0,"예산 없음",TEXT(ABS(G174),"0.0%"))&amp;") "&amp;IF(C174="매출",IF(F174&gt;0,"상회","하회"),IF(F174&gt;0,"초과","절감"))&amp;" ["&amp;H174&amp;"]. 원인: "&amp;IF(O174="","___",O174)))</f>
        <v/>
      </c>
      <c r="Q174" s="45" t="str">
        <f aca="false">IF($A174="","",IF(N174="●",ABS(F174)+ROW()/1000000,0))</f>
        <v/>
      </c>
    </row>
    <row r="175" customFormat="false" ht="15" hidden="false" customHeight="false" outlineLevel="0" collapsed="false">
      <c r="A175" s="43" t="str">
        <f aca="false">IF(예산!A175="","",예산!A175)</f>
        <v/>
      </c>
      <c r="B175" s="43" t="str">
        <f aca="false">IF(예산!B175="","",예산!B175)</f>
        <v/>
      </c>
      <c r="C175" s="43" t="str">
        <f aca="false">IF(예산!C175="","",예산!C175)</f>
        <v/>
      </c>
      <c r="D175" s="9" t="str">
        <f aca="false">IF($A175="","",SUMIFS(INDEX(예산!$D$5:$O$204,0,설정!$B$4),예산!$A$5:$A$204,$A175))</f>
        <v/>
      </c>
      <c r="E175" s="9" t="str">
        <f aca="false">IF($A175="","",SUMIFS(INDEX(실적!$D$5:$O$204,0,설정!$B$4),실적!$A$5:$A$204,$A175))</f>
        <v/>
      </c>
      <c r="F175" s="9" t="str">
        <f aca="false">IF($A175="","",E175-D175)</f>
        <v/>
      </c>
      <c r="G175" s="10" t="str">
        <f aca="false">IF($A175="","",IF(D175=0,"n/a",F175/ABS(D175)))</f>
        <v/>
      </c>
      <c r="H175" s="11" t="str">
        <f aca="false">IF($A175="","",IF(F175=0,"-",IF((C175="매출")=(F175&gt;0),"유리","불리")))</f>
        <v/>
      </c>
      <c r="I175" s="9" t="str">
        <f aca="false">IF($A175="","",SUMPRODUCT((예산!$A$5:$A$204=$A175)*(COLUMN(예산!$D$4:$O$4)-COLUMN(예산!$D$4)+1&lt;=설정!$B$4)*예산!$D$5:$O$204))</f>
        <v/>
      </c>
      <c r="J175" s="9" t="str">
        <f aca="false">IF($A175="","",SUMPRODUCT((실적!$A$5:$A$204=$A175)*(COLUMN(실적!$D$4:$O$4)-COLUMN(실적!$D$4)+1&lt;=설정!$B$4)*실적!$D$5:$O$204))</f>
        <v/>
      </c>
      <c r="K175" s="9" t="str">
        <f aca="false">IF($A175="","",J175-I175)</f>
        <v/>
      </c>
      <c r="L175" s="10" t="str">
        <f aca="false">IF($A175="","",IF(I175=0,"n/a",K175/ABS(I175)))</f>
        <v/>
      </c>
      <c r="M175" s="11" t="str">
        <f aca="false">IF($A175="","",IF(K175=0,"-",IF((C175="매출")=(K175&gt;0),"유리","불리")))</f>
        <v/>
      </c>
      <c r="N175" s="18" t="str">
        <f aca="false">IF($A175="","",IF(AND(ABS(F175)&gt;=설정!$B$5,OR(D175=0,ABS(IF(D175=0,0,F175/D175))&gt;=설정!$B$6)),"●",""))</f>
        <v/>
      </c>
      <c r="O175" s="31"/>
      <c r="P175" s="44" t="str">
        <f aca="false">IF($A175="","",IF(N175="","",B175&amp;": 당월 실적 "&amp;TEXT(E175,"#,##0")&amp;설정!$B$7&amp;"으로 예산 대비 "&amp;TEXT(ABS(F175),"#,##0")&amp;설정!$B$7&amp;"("&amp;IF(D175=0,"예산 없음",TEXT(ABS(G175),"0.0%"))&amp;") "&amp;IF(C175="매출",IF(F175&gt;0,"상회","하회"),IF(F175&gt;0,"초과","절감"))&amp;" ["&amp;H175&amp;"]. 원인: "&amp;IF(O175="","___",O175)))</f>
        <v/>
      </c>
      <c r="Q175" s="45" t="str">
        <f aca="false">IF($A175="","",IF(N175="●",ABS(F175)+ROW()/1000000,0))</f>
        <v/>
      </c>
    </row>
    <row r="176" customFormat="false" ht="15" hidden="false" customHeight="false" outlineLevel="0" collapsed="false">
      <c r="A176" s="43" t="str">
        <f aca="false">IF(예산!A176="","",예산!A176)</f>
        <v/>
      </c>
      <c r="B176" s="43" t="str">
        <f aca="false">IF(예산!B176="","",예산!B176)</f>
        <v/>
      </c>
      <c r="C176" s="43" t="str">
        <f aca="false">IF(예산!C176="","",예산!C176)</f>
        <v/>
      </c>
      <c r="D176" s="9" t="str">
        <f aca="false">IF($A176="","",SUMIFS(INDEX(예산!$D$5:$O$204,0,설정!$B$4),예산!$A$5:$A$204,$A176))</f>
        <v/>
      </c>
      <c r="E176" s="9" t="str">
        <f aca="false">IF($A176="","",SUMIFS(INDEX(실적!$D$5:$O$204,0,설정!$B$4),실적!$A$5:$A$204,$A176))</f>
        <v/>
      </c>
      <c r="F176" s="9" t="str">
        <f aca="false">IF($A176="","",E176-D176)</f>
        <v/>
      </c>
      <c r="G176" s="10" t="str">
        <f aca="false">IF($A176="","",IF(D176=0,"n/a",F176/ABS(D176)))</f>
        <v/>
      </c>
      <c r="H176" s="11" t="str">
        <f aca="false">IF($A176="","",IF(F176=0,"-",IF((C176="매출")=(F176&gt;0),"유리","불리")))</f>
        <v/>
      </c>
      <c r="I176" s="9" t="str">
        <f aca="false">IF($A176="","",SUMPRODUCT((예산!$A$5:$A$204=$A176)*(COLUMN(예산!$D$4:$O$4)-COLUMN(예산!$D$4)+1&lt;=설정!$B$4)*예산!$D$5:$O$204))</f>
        <v/>
      </c>
      <c r="J176" s="9" t="str">
        <f aca="false">IF($A176="","",SUMPRODUCT((실적!$A$5:$A$204=$A176)*(COLUMN(실적!$D$4:$O$4)-COLUMN(실적!$D$4)+1&lt;=설정!$B$4)*실적!$D$5:$O$204))</f>
        <v/>
      </c>
      <c r="K176" s="9" t="str">
        <f aca="false">IF($A176="","",J176-I176)</f>
        <v/>
      </c>
      <c r="L176" s="10" t="str">
        <f aca="false">IF($A176="","",IF(I176=0,"n/a",K176/ABS(I176)))</f>
        <v/>
      </c>
      <c r="M176" s="11" t="str">
        <f aca="false">IF($A176="","",IF(K176=0,"-",IF((C176="매출")=(K176&gt;0),"유리","불리")))</f>
        <v/>
      </c>
      <c r="N176" s="18" t="str">
        <f aca="false">IF($A176="","",IF(AND(ABS(F176)&gt;=설정!$B$5,OR(D176=0,ABS(IF(D176=0,0,F176/D176))&gt;=설정!$B$6)),"●",""))</f>
        <v/>
      </c>
      <c r="O176" s="31"/>
      <c r="P176" s="44" t="str">
        <f aca="false">IF($A176="","",IF(N176="","",B176&amp;": 당월 실적 "&amp;TEXT(E176,"#,##0")&amp;설정!$B$7&amp;"으로 예산 대비 "&amp;TEXT(ABS(F176),"#,##0")&amp;설정!$B$7&amp;"("&amp;IF(D176=0,"예산 없음",TEXT(ABS(G176),"0.0%"))&amp;") "&amp;IF(C176="매출",IF(F176&gt;0,"상회","하회"),IF(F176&gt;0,"초과","절감"))&amp;" ["&amp;H176&amp;"]. 원인: "&amp;IF(O176="","___",O176)))</f>
        <v/>
      </c>
      <c r="Q176" s="45" t="str">
        <f aca="false">IF($A176="","",IF(N176="●",ABS(F176)+ROW()/1000000,0))</f>
        <v/>
      </c>
    </row>
    <row r="177" customFormat="false" ht="15" hidden="false" customHeight="false" outlineLevel="0" collapsed="false">
      <c r="A177" s="43" t="str">
        <f aca="false">IF(예산!A177="","",예산!A177)</f>
        <v/>
      </c>
      <c r="B177" s="43" t="str">
        <f aca="false">IF(예산!B177="","",예산!B177)</f>
        <v/>
      </c>
      <c r="C177" s="43" t="str">
        <f aca="false">IF(예산!C177="","",예산!C177)</f>
        <v/>
      </c>
      <c r="D177" s="9" t="str">
        <f aca="false">IF($A177="","",SUMIFS(INDEX(예산!$D$5:$O$204,0,설정!$B$4),예산!$A$5:$A$204,$A177))</f>
        <v/>
      </c>
      <c r="E177" s="9" t="str">
        <f aca="false">IF($A177="","",SUMIFS(INDEX(실적!$D$5:$O$204,0,설정!$B$4),실적!$A$5:$A$204,$A177))</f>
        <v/>
      </c>
      <c r="F177" s="9" t="str">
        <f aca="false">IF($A177="","",E177-D177)</f>
        <v/>
      </c>
      <c r="G177" s="10" t="str">
        <f aca="false">IF($A177="","",IF(D177=0,"n/a",F177/ABS(D177)))</f>
        <v/>
      </c>
      <c r="H177" s="11" t="str">
        <f aca="false">IF($A177="","",IF(F177=0,"-",IF((C177="매출")=(F177&gt;0),"유리","불리")))</f>
        <v/>
      </c>
      <c r="I177" s="9" t="str">
        <f aca="false">IF($A177="","",SUMPRODUCT((예산!$A$5:$A$204=$A177)*(COLUMN(예산!$D$4:$O$4)-COLUMN(예산!$D$4)+1&lt;=설정!$B$4)*예산!$D$5:$O$204))</f>
        <v/>
      </c>
      <c r="J177" s="9" t="str">
        <f aca="false">IF($A177="","",SUMPRODUCT((실적!$A$5:$A$204=$A177)*(COLUMN(실적!$D$4:$O$4)-COLUMN(실적!$D$4)+1&lt;=설정!$B$4)*실적!$D$5:$O$204))</f>
        <v/>
      </c>
      <c r="K177" s="9" t="str">
        <f aca="false">IF($A177="","",J177-I177)</f>
        <v/>
      </c>
      <c r="L177" s="10" t="str">
        <f aca="false">IF($A177="","",IF(I177=0,"n/a",K177/ABS(I177)))</f>
        <v/>
      </c>
      <c r="M177" s="11" t="str">
        <f aca="false">IF($A177="","",IF(K177=0,"-",IF((C177="매출")=(K177&gt;0),"유리","불리")))</f>
        <v/>
      </c>
      <c r="N177" s="18" t="str">
        <f aca="false">IF($A177="","",IF(AND(ABS(F177)&gt;=설정!$B$5,OR(D177=0,ABS(IF(D177=0,0,F177/D177))&gt;=설정!$B$6)),"●",""))</f>
        <v/>
      </c>
      <c r="O177" s="31"/>
      <c r="P177" s="44" t="str">
        <f aca="false">IF($A177="","",IF(N177="","",B177&amp;": 당월 실적 "&amp;TEXT(E177,"#,##0")&amp;설정!$B$7&amp;"으로 예산 대비 "&amp;TEXT(ABS(F177),"#,##0")&amp;설정!$B$7&amp;"("&amp;IF(D177=0,"예산 없음",TEXT(ABS(G177),"0.0%"))&amp;") "&amp;IF(C177="매출",IF(F177&gt;0,"상회","하회"),IF(F177&gt;0,"초과","절감"))&amp;" ["&amp;H177&amp;"]. 원인: "&amp;IF(O177="","___",O177)))</f>
        <v/>
      </c>
      <c r="Q177" s="45" t="str">
        <f aca="false">IF($A177="","",IF(N177="●",ABS(F177)+ROW()/1000000,0))</f>
        <v/>
      </c>
    </row>
    <row r="178" customFormat="false" ht="15" hidden="false" customHeight="false" outlineLevel="0" collapsed="false">
      <c r="A178" s="43" t="str">
        <f aca="false">IF(예산!A178="","",예산!A178)</f>
        <v/>
      </c>
      <c r="B178" s="43" t="str">
        <f aca="false">IF(예산!B178="","",예산!B178)</f>
        <v/>
      </c>
      <c r="C178" s="43" t="str">
        <f aca="false">IF(예산!C178="","",예산!C178)</f>
        <v/>
      </c>
      <c r="D178" s="9" t="str">
        <f aca="false">IF($A178="","",SUMIFS(INDEX(예산!$D$5:$O$204,0,설정!$B$4),예산!$A$5:$A$204,$A178))</f>
        <v/>
      </c>
      <c r="E178" s="9" t="str">
        <f aca="false">IF($A178="","",SUMIFS(INDEX(실적!$D$5:$O$204,0,설정!$B$4),실적!$A$5:$A$204,$A178))</f>
        <v/>
      </c>
      <c r="F178" s="9" t="str">
        <f aca="false">IF($A178="","",E178-D178)</f>
        <v/>
      </c>
      <c r="G178" s="10" t="str">
        <f aca="false">IF($A178="","",IF(D178=0,"n/a",F178/ABS(D178)))</f>
        <v/>
      </c>
      <c r="H178" s="11" t="str">
        <f aca="false">IF($A178="","",IF(F178=0,"-",IF((C178="매출")=(F178&gt;0),"유리","불리")))</f>
        <v/>
      </c>
      <c r="I178" s="9" t="str">
        <f aca="false">IF($A178="","",SUMPRODUCT((예산!$A$5:$A$204=$A178)*(COLUMN(예산!$D$4:$O$4)-COLUMN(예산!$D$4)+1&lt;=설정!$B$4)*예산!$D$5:$O$204))</f>
        <v/>
      </c>
      <c r="J178" s="9" t="str">
        <f aca="false">IF($A178="","",SUMPRODUCT((실적!$A$5:$A$204=$A178)*(COLUMN(실적!$D$4:$O$4)-COLUMN(실적!$D$4)+1&lt;=설정!$B$4)*실적!$D$5:$O$204))</f>
        <v/>
      </c>
      <c r="K178" s="9" t="str">
        <f aca="false">IF($A178="","",J178-I178)</f>
        <v/>
      </c>
      <c r="L178" s="10" t="str">
        <f aca="false">IF($A178="","",IF(I178=0,"n/a",K178/ABS(I178)))</f>
        <v/>
      </c>
      <c r="M178" s="11" t="str">
        <f aca="false">IF($A178="","",IF(K178=0,"-",IF((C178="매출")=(K178&gt;0),"유리","불리")))</f>
        <v/>
      </c>
      <c r="N178" s="18" t="str">
        <f aca="false">IF($A178="","",IF(AND(ABS(F178)&gt;=설정!$B$5,OR(D178=0,ABS(IF(D178=0,0,F178/D178))&gt;=설정!$B$6)),"●",""))</f>
        <v/>
      </c>
      <c r="O178" s="31"/>
      <c r="P178" s="44" t="str">
        <f aca="false">IF($A178="","",IF(N178="","",B178&amp;": 당월 실적 "&amp;TEXT(E178,"#,##0")&amp;설정!$B$7&amp;"으로 예산 대비 "&amp;TEXT(ABS(F178),"#,##0")&amp;설정!$B$7&amp;"("&amp;IF(D178=0,"예산 없음",TEXT(ABS(G178),"0.0%"))&amp;") "&amp;IF(C178="매출",IF(F178&gt;0,"상회","하회"),IF(F178&gt;0,"초과","절감"))&amp;" ["&amp;H178&amp;"]. 원인: "&amp;IF(O178="","___",O178)))</f>
        <v/>
      </c>
      <c r="Q178" s="45" t="str">
        <f aca="false">IF($A178="","",IF(N178="●",ABS(F178)+ROW()/1000000,0))</f>
        <v/>
      </c>
    </row>
    <row r="179" customFormat="false" ht="15" hidden="false" customHeight="false" outlineLevel="0" collapsed="false">
      <c r="A179" s="43" t="str">
        <f aca="false">IF(예산!A179="","",예산!A179)</f>
        <v/>
      </c>
      <c r="B179" s="43" t="str">
        <f aca="false">IF(예산!B179="","",예산!B179)</f>
        <v/>
      </c>
      <c r="C179" s="43" t="str">
        <f aca="false">IF(예산!C179="","",예산!C179)</f>
        <v/>
      </c>
      <c r="D179" s="9" t="str">
        <f aca="false">IF($A179="","",SUMIFS(INDEX(예산!$D$5:$O$204,0,설정!$B$4),예산!$A$5:$A$204,$A179))</f>
        <v/>
      </c>
      <c r="E179" s="9" t="str">
        <f aca="false">IF($A179="","",SUMIFS(INDEX(실적!$D$5:$O$204,0,설정!$B$4),실적!$A$5:$A$204,$A179))</f>
        <v/>
      </c>
      <c r="F179" s="9" t="str">
        <f aca="false">IF($A179="","",E179-D179)</f>
        <v/>
      </c>
      <c r="G179" s="10" t="str">
        <f aca="false">IF($A179="","",IF(D179=0,"n/a",F179/ABS(D179)))</f>
        <v/>
      </c>
      <c r="H179" s="11" t="str">
        <f aca="false">IF($A179="","",IF(F179=0,"-",IF((C179="매출")=(F179&gt;0),"유리","불리")))</f>
        <v/>
      </c>
      <c r="I179" s="9" t="str">
        <f aca="false">IF($A179="","",SUMPRODUCT((예산!$A$5:$A$204=$A179)*(COLUMN(예산!$D$4:$O$4)-COLUMN(예산!$D$4)+1&lt;=설정!$B$4)*예산!$D$5:$O$204))</f>
        <v/>
      </c>
      <c r="J179" s="9" t="str">
        <f aca="false">IF($A179="","",SUMPRODUCT((실적!$A$5:$A$204=$A179)*(COLUMN(실적!$D$4:$O$4)-COLUMN(실적!$D$4)+1&lt;=설정!$B$4)*실적!$D$5:$O$204))</f>
        <v/>
      </c>
      <c r="K179" s="9" t="str">
        <f aca="false">IF($A179="","",J179-I179)</f>
        <v/>
      </c>
      <c r="L179" s="10" t="str">
        <f aca="false">IF($A179="","",IF(I179=0,"n/a",K179/ABS(I179)))</f>
        <v/>
      </c>
      <c r="M179" s="11" t="str">
        <f aca="false">IF($A179="","",IF(K179=0,"-",IF((C179="매출")=(K179&gt;0),"유리","불리")))</f>
        <v/>
      </c>
      <c r="N179" s="18" t="str">
        <f aca="false">IF($A179="","",IF(AND(ABS(F179)&gt;=설정!$B$5,OR(D179=0,ABS(IF(D179=0,0,F179/D179))&gt;=설정!$B$6)),"●",""))</f>
        <v/>
      </c>
      <c r="O179" s="31"/>
      <c r="P179" s="44" t="str">
        <f aca="false">IF($A179="","",IF(N179="","",B179&amp;": 당월 실적 "&amp;TEXT(E179,"#,##0")&amp;설정!$B$7&amp;"으로 예산 대비 "&amp;TEXT(ABS(F179),"#,##0")&amp;설정!$B$7&amp;"("&amp;IF(D179=0,"예산 없음",TEXT(ABS(G179),"0.0%"))&amp;") "&amp;IF(C179="매출",IF(F179&gt;0,"상회","하회"),IF(F179&gt;0,"초과","절감"))&amp;" ["&amp;H179&amp;"]. 원인: "&amp;IF(O179="","___",O179)))</f>
        <v/>
      </c>
      <c r="Q179" s="45" t="str">
        <f aca="false">IF($A179="","",IF(N179="●",ABS(F179)+ROW()/1000000,0))</f>
        <v/>
      </c>
    </row>
    <row r="180" customFormat="false" ht="15" hidden="false" customHeight="false" outlineLevel="0" collapsed="false">
      <c r="A180" s="43" t="str">
        <f aca="false">IF(예산!A180="","",예산!A180)</f>
        <v/>
      </c>
      <c r="B180" s="43" t="str">
        <f aca="false">IF(예산!B180="","",예산!B180)</f>
        <v/>
      </c>
      <c r="C180" s="43" t="str">
        <f aca="false">IF(예산!C180="","",예산!C180)</f>
        <v/>
      </c>
      <c r="D180" s="9" t="str">
        <f aca="false">IF($A180="","",SUMIFS(INDEX(예산!$D$5:$O$204,0,설정!$B$4),예산!$A$5:$A$204,$A180))</f>
        <v/>
      </c>
      <c r="E180" s="9" t="str">
        <f aca="false">IF($A180="","",SUMIFS(INDEX(실적!$D$5:$O$204,0,설정!$B$4),실적!$A$5:$A$204,$A180))</f>
        <v/>
      </c>
      <c r="F180" s="9" t="str">
        <f aca="false">IF($A180="","",E180-D180)</f>
        <v/>
      </c>
      <c r="G180" s="10" t="str">
        <f aca="false">IF($A180="","",IF(D180=0,"n/a",F180/ABS(D180)))</f>
        <v/>
      </c>
      <c r="H180" s="11" t="str">
        <f aca="false">IF($A180="","",IF(F180=0,"-",IF((C180="매출")=(F180&gt;0),"유리","불리")))</f>
        <v/>
      </c>
      <c r="I180" s="9" t="str">
        <f aca="false">IF($A180="","",SUMPRODUCT((예산!$A$5:$A$204=$A180)*(COLUMN(예산!$D$4:$O$4)-COLUMN(예산!$D$4)+1&lt;=설정!$B$4)*예산!$D$5:$O$204))</f>
        <v/>
      </c>
      <c r="J180" s="9" t="str">
        <f aca="false">IF($A180="","",SUMPRODUCT((실적!$A$5:$A$204=$A180)*(COLUMN(실적!$D$4:$O$4)-COLUMN(실적!$D$4)+1&lt;=설정!$B$4)*실적!$D$5:$O$204))</f>
        <v/>
      </c>
      <c r="K180" s="9" t="str">
        <f aca="false">IF($A180="","",J180-I180)</f>
        <v/>
      </c>
      <c r="L180" s="10" t="str">
        <f aca="false">IF($A180="","",IF(I180=0,"n/a",K180/ABS(I180)))</f>
        <v/>
      </c>
      <c r="M180" s="11" t="str">
        <f aca="false">IF($A180="","",IF(K180=0,"-",IF((C180="매출")=(K180&gt;0),"유리","불리")))</f>
        <v/>
      </c>
      <c r="N180" s="18" t="str">
        <f aca="false">IF($A180="","",IF(AND(ABS(F180)&gt;=설정!$B$5,OR(D180=0,ABS(IF(D180=0,0,F180/D180))&gt;=설정!$B$6)),"●",""))</f>
        <v/>
      </c>
      <c r="O180" s="31"/>
      <c r="P180" s="44" t="str">
        <f aca="false">IF($A180="","",IF(N180="","",B180&amp;": 당월 실적 "&amp;TEXT(E180,"#,##0")&amp;설정!$B$7&amp;"으로 예산 대비 "&amp;TEXT(ABS(F180),"#,##0")&amp;설정!$B$7&amp;"("&amp;IF(D180=0,"예산 없음",TEXT(ABS(G180),"0.0%"))&amp;") "&amp;IF(C180="매출",IF(F180&gt;0,"상회","하회"),IF(F180&gt;0,"초과","절감"))&amp;" ["&amp;H180&amp;"]. 원인: "&amp;IF(O180="","___",O180)))</f>
        <v/>
      </c>
      <c r="Q180" s="45" t="str">
        <f aca="false">IF($A180="","",IF(N180="●",ABS(F180)+ROW()/1000000,0))</f>
        <v/>
      </c>
    </row>
    <row r="181" customFormat="false" ht="15" hidden="false" customHeight="false" outlineLevel="0" collapsed="false">
      <c r="A181" s="43" t="str">
        <f aca="false">IF(예산!A181="","",예산!A181)</f>
        <v/>
      </c>
      <c r="B181" s="43" t="str">
        <f aca="false">IF(예산!B181="","",예산!B181)</f>
        <v/>
      </c>
      <c r="C181" s="43" t="str">
        <f aca="false">IF(예산!C181="","",예산!C181)</f>
        <v/>
      </c>
      <c r="D181" s="9" t="str">
        <f aca="false">IF($A181="","",SUMIFS(INDEX(예산!$D$5:$O$204,0,설정!$B$4),예산!$A$5:$A$204,$A181))</f>
        <v/>
      </c>
      <c r="E181" s="9" t="str">
        <f aca="false">IF($A181="","",SUMIFS(INDEX(실적!$D$5:$O$204,0,설정!$B$4),실적!$A$5:$A$204,$A181))</f>
        <v/>
      </c>
      <c r="F181" s="9" t="str">
        <f aca="false">IF($A181="","",E181-D181)</f>
        <v/>
      </c>
      <c r="G181" s="10" t="str">
        <f aca="false">IF($A181="","",IF(D181=0,"n/a",F181/ABS(D181)))</f>
        <v/>
      </c>
      <c r="H181" s="11" t="str">
        <f aca="false">IF($A181="","",IF(F181=0,"-",IF((C181="매출")=(F181&gt;0),"유리","불리")))</f>
        <v/>
      </c>
      <c r="I181" s="9" t="str">
        <f aca="false">IF($A181="","",SUMPRODUCT((예산!$A$5:$A$204=$A181)*(COLUMN(예산!$D$4:$O$4)-COLUMN(예산!$D$4)+1&lt;=설정!$B$4)*예산!$D$5:$O$204))</f>
        <v/>
      </c>
      <c r="J181" s="9" t="str">
        <f aca="false">IF($A181="","",SUMPRODUCT((실적!$A$5:$A$204=$A181)*(COLUMN(실적!$D$4:$O$4)-COLUMN(실적!$D$4)+1&lt;=설정!$B$4)*실적!$D$5:$O$204))</f>
        <v/>
      </c>
      <c r="K181" s="9" t="str">
        <f aca="false">IF($A181="","",J181-I181)</f>
        <v/>
      </c>
      <c r="L181" s="10" t="str">
        <f aca="false">IF($A181="","",IF(I181=0,"n/a",K181/ABS(I181)))</f>
        <v/>
      </c>
      <c r="M181" s="11" t="str">
        <f aca="false">IF($A181="","",IF(K181=0,"-",IF((C181="매출")=(K181&gt;0),"유리","불리")))</f>
        <v/>
      </c>
      <c r="N181" s="18" t="str">
        <f aca="false">IF($A181="","",IF(AND(ABS(F181)&gt;=설정!$B$5,OR(D181=0,ABS(IF(D181=0,0,F181/D181))&gt;=설정!$B$6)),"●",""))</f>
        <v/>
      </c>
      <c r="O181" s="31"/>
      <c r="P181" s="44" t="str">
        <f aca="false">IF($A181="","",IF(N181="","",B181&amp;": 당월 실적 "&amp;TEXT(E181,"#,##0")&amp;설정!$B$7&amp;"으로 예산 대비 "&amp;TEXT(ABS(F181),"#,##0")&amp;설정!$B$7&amp;"("&amp;IF(D181=0,"예산 없음",TEXT(ABS(G181),"0.0%"))&amp;") "&amp;IF(C181="매출",IF(F181&gt;0,"상회","하회"),IF(F181&gt;0,"초과","절감"))&amp;" ["&amp;H181&amp;"]. 원인: "&amp;IF(O181="","___",O181)))</f>
        <v/>
      </c>
      <c r="Q181" s="45" t="str">
        <f aca="false">IF($A181="","",IF(N181="●",ABS(F181)+ROW()/1000000,0))</f>
        <v/>
      </c>
    </row>
    <row r="182" customFormat="false" ht="15" hidden="false" customHeight="false" outlineLevel="0" collapsed="false">
      <c r="A182" s="43" t="str">
        <f aca="false">IF(예산!A182="","",예산!A182)</f>
        <v/>
      </c>
      <c r="B182" s="43" t="str">
        <f aca="false">IF(예산!B182="","",예산!B182)</f>
        <v/>
      </c>
      <c r="C182" s="43" t="str">
        <f aca="false">IF(예산!C182="","",예산!C182)</f>
        <v/>
      </c>
      <c r="D182" s="9" t="str">
        <f aca="false">IF($A182="","",SUMIFS(INDEX(예산!$D$5:$O$204,0,설정!$B$4),예산!$A$5:$A$204,$A182))</f>
        <v/>
      </c>
      <c r="E182" s="9" t="str">
        <f aca="false">IF($A182="","",SUMIFS(INDEX(실적!$D$5:$O$204,0,설정!$B$4),실적!$A$5:$A$204,$A182))</f>
        <v/>
      </c>
      <c r="F182" s="9" t="str">
        <f aca="false">IF($A182="","",E182-D182)</f>
        <v/>
      </c>
      <c r="G182" s="10" t="str">
        <f aca="false">IF($A182="","",IF(D182=0,"n/a",F182/ABS(D182)))</f>
        <v/>
      </c>
      <c r="H182" s="11" t="str">
        <f aca="false">IF($A182="","",IF(F182=0,"-",IF((C182="매출")=(F182&gt;0),"유리","불리")))</f>
        <v/>
      </c>
      <c r="I182" s="9" t="str">
        <f aca="false">IF($A182="","",SUMPRODUCT((예산!$A$5:$A$204=$A182)*(COLUMN(예산!$D$4:$O$4)-COLUMN(예산!$D$4)+1&lt;=설정!$B$4)*예산!$D$5:$O$204))</f>
        <v/>
      </c>
      <c r="J182" s="9" t="str">
        <f aca="false">IF($A182="","",SUMPRODUCT((실적!$A$5:$A$204=$A182)*(COLUMN(실적!$D$4:$O$4)-COLUMN(실적!$D$4)+1&lt;=설정!$B$4)*실적!$D$5:$O$204))</f>
        <v/>
      </c>
      <c r="K182" s="9" t="str">
        <f aca="false">IF($A182="","",J182-I182)</f>
        <v/>
      </c>
      <c r="L182" s="10" t="str">
        <f aca="false">IF($A182="","",IF(I182=0,"n/a",K182/ABS(I182)))</f>
        <v/>
      </c>
      <c r="M182" s="11" t="str">
        <f aca="false">IF($A182="","",IF(K182=0,"-",IF((C182="매출")=(K182&gt;0),"유리","불리")))</f>
        <v/>
      </c>
      <c r="N182" s="18" t="str">
        <f aca="false">IF($A182="","",IF(AND(ABS(F182)&gt;=설정!$B$5,OR(D182=0,ABS(IF(D182=0,0,F182/D182))&gt;=설정!$B$6)),"●",""))</f>
        <v/>
      </c>
      <c r="O182" s="31"/>
      <c r="P182" s="44" t="str">
        <f aca="false">IF($A182="","",IF(N182="","",B182&amp;": 당월 실적 "&amp;TEXT(E182,"#,##0")&amp;설정!$B$7&amp;"으로 예산 대비 "&amp;TEXT(ABS(F182),"#,##0")&amp;설정!$B$7&amp;"("&amp;IF(D182=0,"예산 없음",TEXT(ABS(G182),"0.0%"))&amp;") "&amp;IF(C182="매출",IF(F182&gt;0,"상회","하회"),IF(F182&gt;0,"초과","절감"))&amp;" ["&amp;H182&amp;"]. 원인: "&amp;IF(O182="","___",O182)))</f>
        <v/>
      </c>
      <c r="Q182" s="45" t="str">
        <f aca="false">IF($A182="","",IF(N182="●",ABS(F182)+ROW()/1000000,0))</f>
        <v/>
      </c>
    </row>
    <row r="183" customFormat="false" ht="15" hidden="false" customHeight="false" outlineLevel="0" collapsed="false">
      <c r="A183" s="43" t="str">
        <f aca="false">IF(예산!A183="","",예산!A183)</f>
        <v/>
      </c>
      <c r="B183" s="43" t="str">
        <f aca="false">IF(예산!B183="","",예산!B183)</f>
        <v/>
      </c>
      <c r="C183" s="43" t="str">
        <f aca="false">IF(예산!C183="","",예산!C183)</f>
        <v/>
      </c>
      <c r="D183" s="9" t="str">
        <f aca="false">IF($A183="","",SUMIFS(INDEX(예산!$D$5:$O$204,0,설정!$B$4),예산!$A$5:$A$204,$A183))</f>
        <v/>
      </c>
      <c r="E183" s="9" t="str">
        <f aca="false">IF($A183="","",SUMIFS(INDEX(실적!$D$5:$O$204,0,설정!$B$4),실적!$A$5:$A$204,$A183))</f>
        <v/>
      </c>
      <c r="F183" s="9" t="str">
        <f aca="false">IF($A183="","",E183-D183)</f>
        <v/>
      </c>
      <c r="G183" s="10" t="str">
        <f aca="false">IF($A183="","",IF(D183=0,"n/a",F183/ABS(D183)))</f>
        <v/>
      </c>
      <c r="H183" s="11" t="str">
        <f aca="false">IF($A183="","",IF(F183=0,"-",IF((C183="매출")=(F183&gt;0),"유리","불리")))</f>
        <v/>
      </c>
      <c r="I183" s="9" t="str">
        <f aca="false">IF($A183="","",SUMPRODUCT((예산!$A$5:$A$204=$A183)*(COLUMN(예산!$D$4:$O$4)-COLUMN(예산!$D$4)+1&lt;=설정!$B$4)*예산!$D$5:$O$204))</f>
        <v/>
      </c>
      <c r="J183" s="9" t="str">
        <f aca="false">IF($A183="","",SUMPRODUCT((실적!$A$5:$A$204=$A183)*(COLUMN(실적!$D$4:$O$4)-COLUMN(실적!$D$4)+1&lt;=설정!$B$4)*실적!$D$5:$O$204))</f>
        <v/>
      </c>
      <c r="K183" s="9" t="str">
        <f aca="false">IF($A183="","",J183-I183)</f>
        <v/>
      </c>
      <c r="L183" s="10" t="str">
        <f aca="false">IF($A183="","",IF(I183=0,"n/a",K183/ABS(I183)))</f>
        <v/>
      </c>
      <c r="M183" s="11" t="str">
        <f aca="false">IF($A183="","",IF(K183=0,"-",IF((C183="매출")=(K183&gt;0),"유리","불리")))</f>
        <v/>
      </c>
      <c r="N183" s="18" t="str">
        <f aca="false">IF($A183="","",IF(AND(ABS(F183)&gt;=설정!$B$5,OR(D183=0,ABS(IF(D183=0,0,F183/D183))&gt;=설정!$B$6)),"●",""))</f>
        <v/>
      </c>
      <c r="O183" s="31"/>
      <c r="P183" s="44" t="str">
        <f aca="false">IF($A183="","",IF(N183="","",B183&amp;": 당월 실적 "&amp;TEXT(E183,"#,##0")&amp;설정!$B$7&amp;"으로 예산 대비 "&amp;TEXT(ABS(F183),"#,##0")&amp;설정!$B$7&amp;"("&amp;IF(D183=0,"예산 없음",TEXT(ABS(G183),"0.0%"))&amp;") "&amp;IF(C183="매출",IF(F183&gt;0,"상회","하회"),IF(F183&gt;0,"초과","절감"))&amp;" ["&amp;H183&amp;"]. 원인: "&amp;IF(O183="","___",O183)))</f>
        <v/>
      </c>
      <c r="Q183" s="45" t="str">
        <f aca="false">IF($A183="","",IF(N183="●",ABS(F183)+ROW()/1000000,0))</f>
        <v/>
      </c>
    </row>
    <row r="184" customFormat="false" ht="15" hidden="false" customHeight="false" outlineLevel="0" collapsed="false">
      <c r="A184" s="43" t="str">
        <f aca="false">IF(예산!A184="","",예산!A184)</f>
        <v/>
      </c>
      <c r="B184" s="43" t="str">
        <f aca="false">IF(예산!B184="","",예산!B184)</f>
        <v/>
      </c>
      <c r="C184" s="43" t="str">
        <f aca="false">IF(예산!C184="","",예산!C184)</f>
        <v/>
      </c>
      <c r="D184" s="9" t="str">
        <f aca="false">IF($A184="","",SUMIFS(INDEX(예산!$D$5:$O$204,0,설정!$B$4),예산!$A$5:$A$204,$A184))</f>
        <v/>
      </c>
      <c r="E184" s="9" t="str">
        <f aca="false">IF($A184="","",SUMIFS(INDEX(실적!$D$5:$O$204,0,설정!$B$4),실적!$A$5:$A$204,$A184))</f>
        <v/>
      </c>
      <c r="F184" s="9" t="str">
        <f aca="false">IF($A184="","",E184-D184)</f>
        <v/>
      </c>
      <c r="G184" s="10" t="str">
        <f aca="false">IF($A184="","",IF(D184=0,"n/a",F184/ABS(D184)))</f>
        <v/>
      </c>
      <c r="H184" s="11" t="str">
        <f aca="false">IF($A184="","",IF(F184=0,"-",IF((C184="매출")=(F184&gt;0),"유리","불리")))</f>
        <v/>
      </c>
      <c r="I184" s="9" t="str">
        <f aca="false">IF($A184="","",SUMPRODUCT((예산!$A$5:$A$204=$A184)*(COLUMN(예산!$D$4:$O$4)-COLUMN(예산!$D$4)+1&lt;=설정!$B$4)*예산!$D$5:$O$204))</f>
        <v/>
      </c>
      <c r="J184" s="9" t="str">
        <f aca="false">IF($A184="","",SUMPRODUCT((실적!$A$5:$A$204=$A184)*(COLUMN(실적!$D$4:$O$4)-COLUMN(실적!$D$4)+1&lt;=설정!$B$4)*실적!$D$5:$O$204))</f>
        <v/>
      </c>
      <c r="K184" s="9" t="str">
        <f aca="false">IF($A184="","",J184-I184)</f>
        <v/>
      </c>
      <c r="L184" s="10" t="str">
        <f aca="false">IF($A184="","",IF(I184=0,"n/a",K184/ABS(I184)))</f>
        <v/>
      </c>
      <c r="M184" s="11" t="str">
        <f aca="false">IF($A184="","",IF(K184=0,"-",IF((C184="매출")=(K184&gt;0),"유리","불리")))</f>
        <v/>
      </c>
      <c r="N184" s="18" t="str">
        <f aca="false">IF($A184="","",IF(AND(ABS(F184)&gt;=설정!$B$5,OR(D184=0,ABS(IF(D184=0,0,F184/D184))&gt;=설정!$B$6)),"●",""))</f>
        <v/>
      </c>
      <c r="O184" s="31"/>
      <c r="P184" s="44" t="str">
        <f aca="false">IF($A184="","",IF(N184="","",B184&amp;": 당월 실적 "&amp;TEXT(E184,"#,##0")&amp;설정!$B$7&amp;"으로 예산 대비 "&amp;TEXT(ABS(F184),"#,##0")&amp;설정!$B$7&amp;"("&amp;IF(D184=0,"예산 없음",TEXT(ABS(G184),"0.0%"))&amp;") "&amp;IF(C184="매출",IF(F184&gt;0,"상회","하회"),IF(F184&gt;0,"초과","절감"))&amp;" ["&amp;H184&amp;"]. 원인: "&amp;IF(O184="","___",O184)))</f>
        <v/>
      </c>
      <c r="Q184" s="45" t="str">
        <f aca="false">IF($A184="","",IF(N184="●",ABS(F184)+ROW()/1000000,0))</f>
        <v/>
      </c>
    </row>
    <row r="185" customFormat="false" ht="15" hidden="false" customHeight="false" outlineLevel="0" collapsed="false">
      <c r="A185" s="43" t="str">
        <f aca="false">IF(예산!A185="","",예산!A185)</f>
        <v/>
      </c>
      <c r="B185" s="43" t="str">
        <f aca="false">IF(예산!B185="","",예산!B185)</f>
        <v/>
      </c>
      <c r="C185" s="43" t="str">
        <f aca="false">IF(예산!C185="","",예산!C185)</f>
        <v/>
      </c>
      <c r="D185" s="9" t="str">
        <f aca="false">IF($A185="","",SUMIFS(INDEX(예산!$D$5:$O$204,0,설정!$B$4),예산!$A$5:$A$204,$A185))</f>
        <v/>
      </c>
      <c r="E185" s="9" t="str">
        <f aca="false">IF($A185="","",SUMIFS(INDEX(실적!$D$5:$O$204,0,설정!$B$4),실적!$A$5:$A$204,$A185))</f>
        <v/>
      </c>
      <c r="F185" s="9" t="str">
        <f aca="false">IF($A185="","",E185-D185)</f>
        <v/>
      </c>
      <c r="G185" s="10" t="str">
        <f aca="false">IF($A185="","",IF(D185=0,"n/a",F185/ABS(D185)))</f>
        <v/>
      </c>
      <c r="H185" s="11" t="str">
        <f aca="false">IF($A185="","",IF(F185=0,"-",IF((C185="매출")=(F185&gt;0),"유리","불리")))</f>
        <v/>
      </c>
      <c r="I185" s="9" t="str">
        <f aca="false">IF($A185="","",SUMPRODUCT((예산!$A$5:$A$204=$A185)*(COLUMN(예산!$D$4:$O$4)-COLUMN(예산!$D$4)+1&lt;=설정!$B$4)*예산!$D$5:$O$204))</f>
        <v/>
      </c>
      <c r="J185" s="9" t="str">
        <f aca="false">IF($A185="","",SUMPRODUCT((실적!$A$5:$A$204=$A185)*(COLUMN(실적!$D$4:$O$4)-COLUMN(실적!$D$4)+1&lt;=설정!$B$4)*실적!$D$5:$O$204))</f>
        <v/>
      </c>
      <c r="K185" s="9" t="str">
        <f aca="false">IF($A185="","",J185-I185)</f>
        <v/>
      </c>
      <c r="L185" s="10" t="str">
        <f aca="false">IF($A185="","",IF(I185=0,"n/a",K185/ABS(I185)))</f>
        <v/>
      </c>
      <c r="M185" s="11" t="str">
        <f aca="false">IF($A185="","",IF(K185=0,"-",IF((C185="매출")=(K185&gt;0),"유리","불리")))</f>
        <v/>
      </c>
      <c r="N185" s="18" t="str">
        <f aca="false">IF($A185="","",IF(AND(ABS(F185)&gt;=설정!$B$5,OR(D185=0,ABS(IF(D185=0,0,F185/D185))&gt;=설정!$B$6)),"●",""))</f>
        <v/>
      </c>
      <c r="O185" s="31"/>
      <c r="P185" s="44" t="str">
        <f aca="false">IF($A185="","",IF(N185="","",B185&amp;": 당월 실적 "&amp;TEXT(E185,"#,##0")&amp;설정!$B$7&amp;"으로 예산 대비 "&amp;TEXT(ABS(F185),"#,##0")&amp;설정!$B$7&amp;"("&amp;IF(D185=0,"예산 없음",TEXT(ABS(G185),"0.0%"))&amp;") "&amp;IF(C185="매출",IF(F185&gt;0,"상회","하회"),IF(F185&gt;0,"초과","절감"))&amp;" ["&amp;H185&amp;"]. 원인: "&amp;IF(O185="","___",O185)))</f>
        <v/>
      </c>
      <c r="Q185" s="45" t="str">
        <f aca="false">IF($A185="","",IF(N185="●",ABS(F185)+ROW()/1000000,0))</f>
        <v/>
      </c>
    </row>
    <row r="186" customFormat="false" ht="15" hidden="false" customHeight="false" outlineLevel="0" collapsed="false">
      <c r="A186" s="43" t="str">
        <f aca="false">IF(예산!A186="","",예산!A186)</f>
        <v/>
      </c>
      <c r="B186" s="43" t="str">
        <f aca="false">IF(예산!B186="","",예산!B186)</f>
        <v/>
      </c>
      <c r="C186" s="43" t="str">
        <f aca="false">IF(예산!C186="","",예산!C186)</f>
        <v/>
      </c>
      <c r="D186" s="9" t="str">
        <f aca="false">IF($A186="","",SUMIFS(INDEX(예산!$D$5:$O$204,0,설정!$B$4),예산!$A$5:$A$204,$A186))</f>
        <v/>
      </c>
      <c r="E186" s="9" t="str">
        <f aca="false">IF($A186="","",SUMIFS(INDEX(실적!$D$5:$O$204,0,설정!$B$4),실적!$A$5:$A$204,$A186))</f>
        <v/>
      </c>
      <c r="F186" s="9" t="str">
        <f aca="false">IF($A186="","",E186-D186)</f>
        <v/>
      </c>
      <c r="G186" s="10" t="str">
        <f aca="false">IF($A186="","",IF(D186=0,"n/a",F186/ABS(D186)))</f>
        <v/>
      </c>
      <c r="H186" s="11" t="str">
        <f aca="false">IF($A186="","",IF(F186=0,"-",IF((C186="매출")=(F186&gt;0),"유리","불리")))</f>
        <v/>
      </c>
      <c r="I186" s="9" t="str">
        <f aca="false">IF($A186="","",SUMPRODUCT((예산!$A$5:$A$204=$A186)*(COLUMN(예산!$D$4:$O$4)-COLUMN(예산!$D$4)+1&lt;=설정!$B$4)*예산!$D$5:$O$204))</f>
        <v/>
      </c>
      <c r="J186" s="9" t="str">
        <f aca="false">IF($A186="","",SUMPRODUCT((실적!$A$5:$A$204=$A186)*(COLUMN(실적!$D$4:$O$4)-COLUMN(실적!$D$4)+1&lt;=설정!$B$4)*실적!$D$5:$O$204))</f>
        <v/>
      </c>
      <c r="K186" s="9" t="str">
        <f aca="false">IF($A186="","",J186-I186)</f>
        <v/>
      </c>
      <c r="L186" s="10" t="str">
        <f aca="false">IF($A186="","",IF(I186=0,"n/a",K186/ABS(I186)))</f>
        <v/>
      </c>
      <c r="M186" s="11" t="str">
        <f aca="false">IF($A186="","",IF(K186=0,"-",IF((C186="매출")=(K186&gt;0),"유리","불리")))</f>
        <v/>
      </c>
      <c r="N186" s="18" t="str">
        <f aca="false">IF($A186="","",IF(AND(ABS(F186)&gt;=설정!$B$5,OR(D186=0,ABS(IF(D186=0,0,F186/D186))&gt;=설정!$B$6)),"●",""))</f>
        <v/>
      </c>
      <c r="O186" s="31"/>
      <c r="P186" s="44" t="str">
        <f aca="false">IF($A186="","",IF(N186="","",B186&amp;": 당월 실적 "&amp;TEXT(E186,"#,##0")&amp;설정!$B$7&amp;"으로 예산 대비 "&amp;TEXT(ABS(F186),"#,##0")&amp;설정!$B$7&amp;"("&amp;IF(D186=0,"예산 없음",TEXT(ABS(G186),"0.0%"))&amp;") "&amp;IF(C186="매출",IF(F186&gt;0,"상회","하회"),IF(F186&gt;0,"초과","절감"))&amp;" ["&amp;H186&amp;"]. 원인: "&amp;IF(O186="","___",O186)))</f>
        <v/>
      </c>
      <c r="Q186" s="45" t="str">
        <f aca="false">IF($A186="","",IF(N186="●",ABS(F186)+ROW()/1000000,0))</f>
        <v/>
      </c>
    </row>
    <row r="187" customFormat="false" ht="15" hidden="false" customHeight="false" outlineLevel="0" collapsed="false">
      <c r="A187" s="43" t="str">
        <f aca="false">IF(예산!A187="","",예산!A187)</f>
        <v/>
      </c>
      <c r="B187" s="43" t="str">
        <f aca="false">IF(예산!B187="","",예산!B187)</f>
        <v/>
      </c>
      <c r="C187" s="43" t="str">
        <f aca="false">IF(예산!C187="","",예산!C187)</f>
        <v/>
      </c>
      <c r="D187" s="9" t="str">
        <f aca="false">IF($A187="","",SUMIFS(INDEX(예산!$D$5:$O$204,0,설정!$B$4),예산!$A$5:$A$204,$A187))</f>
        <v/>
      </c>
      <c r="E187" s="9" t="str">
        <f aca="false">IF($A187="","",SUMIFS(INDEX(실적!$D$5:$O$204,0,설정!$B$4),실적!$A$5:$A$204,$A187))</f>
        <v/>
      </c>
      <c r="F187" s="9" t="str">
        <f aca="false">IF($A187="","",E187-D187)</f>
        <v/>
      </c>
      <c r="G187" s="10" t="str">
        <f aca="false">IF($A187="","",IF(D187=0,"n/a",F187/ABS(D187)))</f>
        <v/>
      </c>
      <c r="H187" s="11" t="str">
        <f aca="false">IF($A187="","",IF(F187=0,"-",IF((C187="매출")=(F187&gt;0),"유리","불리")))</f>
        <v/>
      </c>
      <c r="I187" s="9" t="str">
        <f aca="false">IF($A187="","",SUMPRODUCT((예산!$A$5:$A$204=$A187)*(COLUMN(예산!$D$4:$O$4)-COLUMN(예산!$D$4)+1&lt;=설정!$B$4)*예산!$D$5:$O$204))</f>
        <v/>
      </c>
      <c r="J187" s="9" t="str">
        <f aca="false">IF($A187="","",SUMPRODUCT((실적!$A$5:$A$204=$A187)*(COLUMN(실적!$D$4:$O$4)-COLUMN(실적!$D$4)+1&lt;=설정!$B$4)*실적!$D$5:$O$204))</f>
        <v/>
      </c>
      <c r="K187" s="9" t="str">
        <f aca="false">IF($A187="","",J187-I187)</f>
        <v/>
      </c>
      <c r="L187" s="10" t="str">
        <f aca="false">IF($A187="","",IF(I187=0,"n/a",K187/ABS(I187)))</f>
        <v/>
      </c>
      <c r="M187" s="11" t="str">
        <f aca="false">IF($A187="","",IF(K187=0,"-",IF((C187="매출")=(K187&gt;0),"유리","불리")))</f>
        <v/>
      </c>
      <c r="N187" s="18" t="str">
        <f aca="false">IF($A187="","",IF(AND(ABS(F187)&gt;=설정!$B$5,OR(D187=0,ABS(IF(D187=0,0,F187/D187))&gt;=설정!$B$6)),"●",""))</f>
        <v/>
      </c>
      <c r="O187" s="31"/>
      <c r="P187" s="44" t="str">
        <f aca="false">IF($A187="","",IF(N187="","",B187&amp;": 당월 실적 "&amp;TEXT(E187,"#,##0")&amp;설정!$B$7&amp;"으로 예산 대비 "&amp;TEXT(ABS(F187),"#,##0")&amp;설정!$B$7&amp;"("&amp;IF(D187=0,"예산 없음",TEXT(ABS(G187),"0.0%"))&amp;") "&amp;IF(C187="매출",IF(F187&gt;0,"상회","하회"),IF(F187&gt;0,"초과","절감"))&amp;" ["&amp;H187&amp;"]. 원인: "&amp;IF(O187="","___",O187)))</f>
        <v/>
      </c>
      <c r="Q187" s="45" t="str">
        <f aca="false">IF($A187="","",IF(N187="●",ABS(F187)+ROW()/1000000,0))</f>
        <v/>
      </c>
    </row>
    <row r="188" customFormat="false" ht="15" hidden="false" customHeight="false" outlineLevel="0" collapsed="false">
      <c r="A188" s="43" t="str">
        <f aca="false">IF(예산!A188="","",예산!A188)</f>
        <v/>
      </c>
      <c r="B188" s="43" t="str">
        <f aca="false">IF(예산!B188="","",예산!B188)</f>
        <v/>
      </c>
      <c r="C188" s="43" t="str">
        <f aca="false">IF(예산!C188="","",예산!C188)</f>
        <v/>
      </c>
      <c r="D188" s="9" t="str">
        <f aca="false">IF($A188="","",SUMIFS(INDEX(예산!$D$5:$O$204,0,설정!$B$4),예산!$A$5:$A$204,$A188))</f>
        <v/>
      </c>
      <c r="E188" s="9" t="str">
        <f aca="false">IF($A188="","",SUMIFS(INDEX(실적!$D$5:$O$204,0,설정!$B$4),실적!$A$5:$A$204,$A188))</f>
        <v/>
      </c>
      <c r="F188" s="9" t="str">
        <f aca="false">IF($A188="","",E188-D188)</f>
        <v/>
      </c>
      <c r="G188" s="10" t="str">
        <f aca="false">IF($A188="","",IF(D188=0,"n/a",F188/ABS(D188)))</f>
        <v/>
      </c>
      <c r="H188" s="11" t="str">
        <f aca="false">IF($A188="","",IF(F188=0,"-",IF((C188="매출")=(F188&gt;0),"유리","불리")))</f>
        <v/>
      </c>
      <c r="I188" s="9" t="str">
        <f aca="false">IF($A188="","",SUMPRODUCT((예산!$A$5:$A$204=$A188)*(COLUMN(예산!$D$4:$O$4)-COLUMN(예산!$D$4)+1&lt;=설정!$B$4)*예산!$D$5:$O$204))</f>
        <v/>
      </c>
      <c r="J188" s="9" t="str">
        <f aca="false">IF($A188="","",SUMPRODUCT((실적!$A$5:$A$204=$A188)*(COLUMN(실적!$D$4:$O$4)-COLUMN(실적!$D$4)+1&lt;=설정!$B$4)*실적!$D$5:$O$204))</f>
        <v/>
      </c>
      <c r="K188" s="9" t="str">
        <f aca="false">IF($A188="","",J188-I188)</f>
        <v/>
      </c>
      <c r="L188" s="10" t="str">
        <f aca="false">IF($A188="","",IF(I188=0,"n/a",K188/ABS(I188)))</f>
        <v/>
      </c>
      <c r="M188" s="11" t="str">
        <f aca="false">IF($A188="","",IF(K188=0,"-",IF((C188="매출")=(K188&gt;0),"유리","불리")))</f>
        <v/>
      </c>
      <c r="N188" s="18" t="str">
        <f aca="false">IF($A188="","",IF(AND(ABS(F188)&gt;=설정!$B$5,OR(D188=0,ABS(IF(D188=0,0,F188/D188))&gt;=설정!$B$6)),"●",""))</f>
        <v/>
      </c>
      <c r="O188" s="31"/>
      <c r="P188" s="44" t="str">
        <f aca="false">IF($A188="","",IF(N188="","",B188&amp;": 당월 실적 "&amp;TEXT(E188,"#,##0")&amp;설정!$B$7&amp;"으로 예산 대비 "&amp;TEXT(ABS(F188),"#,##0")&amp;설정!$B$7&amp;"("&amp;IF(D188=0,"예산 없음",TEXT(ABS(G188),"0.0%"))&amp;") "&amp;IF(C188="매출",IF(F188&gt;0,"상회","하회"),IF(F188&gt;0,"초과","절감"))&amp;" ["&amp;H188&amp;"]. 원인: "&amp;IF(O188="","___",O188)))</f>
        <v/>
      </c>
      <c r="Q188" s="45" t="str">
        <f aca="false">IF($A188="","",IF(N188="●",ABS(F188)+ROW()/1000000,0))</f>
        <v/>
      </c>
    </row>
    <row r="189" customFormat="false" ht="15" hidden="false" customHeight="false" outlineLevel="0" collapsed="false">
      <c r="A189" s="43" t="str">
        <f aca="false">IF(예산!A189="","",예산!A189)</f>
        <v/>
      </c>
      <c r="B189" s="43" t="str">
        <f aca="false">IF(예산!B189="","",예산!B189)</f>
        <v/>
      </c>
      <c r="C189" s="43" t="str">
        <f aca="false">IF(예산!C189="","",예산!C189)</f>
        <v/>
      </c>
      <c r="D189" s="9" t="str">
        <f aca="false">IF($A189="","",SUMIFS(INDEX(예산!$D$5:$O$204,0,설정!$B$4),예산!$A$5:$A$204,$A189))</f>
        <v/>
      </c>
      <c r="E189" s="9" t="str">
        <f aca="false">IF($A189="","",SUMIFS(INDEX(실적!$D$5:$O$204,0,설정!$B$4),실적!$A$5:$A$204,$A189))</f>
        <v/>
      </c>
      <c r="F189" s="9" t="str">
        <f aca="false">IF($A189="","",E189-D189)</f>
        <v/>
      </c>
      <c r="G189" s="10" t="str">
        <f aca="false">IF($A189="","",IF(D189=0,"n/a",F189/ABS(D189)))</f>
        <v/>
      </c>
      <c r="H189" s="11" t="str">
        <f aca="false">IF($A189="","",IF(F189=0,"-",IF((C189="매출")=(F189&gt;0),"유리","불리")))</f>
        <v/>
      </c>
      <c r="I189" s="9" t="str">
        <f aca="false">IF($A189="","",SUMPRODUCT((예산!$A$5:$A$204=$A189)*(COLUMN(예산!$D$4:$O$4)-COLUMN(예산!$D$4)+1&lt;=설정!$B$4)*예산!$D$5:$O$204))</f>
        <v/>
      </c>
      <c r="J189" s="9" t="str">
        <f aca="false">IF($A189="","",SUMPRODUCT((실적!$A$5:$A$204=$A189)*(COLUMN(실적!$D$4:$O$4)-COLUMN(실적!$D$4)+1&lt;=설정!$B$4)*실적!$D$5:$O$204))</f>
        <v/>
      </c>
      <c r="K189" s="9" t="str">
        <f aca="false">IF($A189="","",J189-I189)</f>
        <v/>
      </c>
      <c r="L189" s="10" t="str">
        <f aca="false">IF($A189="","",IF(I189=0,"n/a",K189/ABS(I189)))</f>
        <v/>
      </c>
      <c r="M189" s="11" t="str">
        <f aca="false">IF($A189="","",IF(K189=0,"-",IF((C189="매출")=(K189&gt;0),"유리","불리")))</f>
        <v/>
      </c>
      <c r="N189" s="18" t="str">
        <f aca="false">IF($A189="","",IF(AND(ABS(F189)&gt;=설정!$B$5,OR(D189=0,ABS(IF(D189=0,0,F189/D189))&gt;=설정!$B$6)),"●",""))</f>
        <v/>
      </c>
      <c r="O189" s="31"/>
      <c r="P189" s="44" t="str">
        <f aca="false">IF($A189="","",IF(N189="","",B189&amp;": 당월 실적 "&amp;TEXT(E189,"#,##0")&amp;설정!$B$7&amp;"으로 예산 대비 "&amp;TEXT(ABS(F189),"#,##0")&amp;설정!$B$7&amp;"("&amp;IF(D189=0,"예산 없음",TEXT(ABS(G189),"0.0%"))&amp;") "&amp;IF(C189="매출",IF(F189&gt;0,"상회","하회"),IF(F189&gt;0,"초과","절감"))&amp;" ["&amp;H189&amp;"]. 원인: "&amp;IF(O189="","___",O189)))</f>
        <v/>
      </c>
      <c r="Q189" s="45" t="str">
        <f aca="false">IF($A189="","",IF(N189="●",ABS(F189)+ROW()/1000000,0))</f>
        <v/>
      </c>
    </row>
    <row r="190" customFormat="false" ht="15" hidden="false" customHeight="false" outlineLevel="0" collapsed="false">
      <c r="A190" s="43" t="str">
        <f aca="false">IF(예산!A190="","",예산!A190)</f>
        <v/>
      </c>
      <c r="B190" s="43" t="str">
        <f aca="false">IF(예산!B190="","",예산!B190)</f>
        <v/>
      </c>
      <c r="C190" s="43" t="str">
        <f aca="false">IF(예산!C190="","",예산!C190)</f>
        <v/>
      </c>
      <c r="D190" s="9" t="str">
        <f aca="false">IF($A190="","",SUMIFS(INDEX(예산!$D$5:$O$204,0,설정!$B$4),예산!$A$5:$A$204,$A190))</f>
        <v/>
      </c>
      <c r="E190" s="9" t="str">
        <f aca="false">IF($A190="","",SUMIFS(INDEX(실적!$D$5:$O$204,0,설정!$B$4),실적!$A$5:$A$204,$A190))</f>
        <v/>
      </c>
      <c r="F190" s="9" t="str">
        <f aca="false">IF($A190="","",E190-D190)</f>
        <v/>
      </c>
      <c r="G190" s="10" t="str">
        <f aca="false">IF($A190="","",IF(D190=0,"n/a",F190/ABS(D190)))</f>
        <v/>
      </c>
      <c r="H190" s="11" t="str">
        <f aca="false">IF($A190="","",IF(F190=0,"-",IF((C190="매출")=(F190&gt;0),"유리","불리")))</f>
        <v/>
      </c>
      <c r="I190" s="9" t="str">
        <f aca="false">IF($A190="","",SUMPRODUCT((예산!$A$5:$A$204=$A190)*(COLUMN(예산!$D$4:$O$4)-COLUMN(예산!$D$4)+1&lt;=설정!$B$4)*예산!$D$5:$O$204))</f>
        <v/>
      </c>
      <c r="J190" s="9" t="str">
        <f aca="false">IF($A190="","",SUMPRODUCT((실적!$A$5:$A$204=$A190)*(COLUMN(실적!$D$4:$O$4)-COLUMN(실적!$D$4)+1&lt;=설정!$B$4)*실적!$D$5:$O$204))</f>
        <v/>
      </c>
      <c r="K190" s="9" t="str">
        <f aca="false">IF($A190="","",J190-I190)</f>
        <v/>
      </c>
      <c r="L190" s="10" t="str">
        <f aca="false">IF($A190="","",IF(I190=0,"n/a",K190/ABS(I190)))</f>
        <v/>
      </c>
      <c r="M190" s="11" t="str">
        <f aca="false">IF($A190="","",IF(K190=0,"-",IF((C190="매출")=(K190&gt;0),"유리","불리")))</f>
        <v/>
      </c>
      <c r="N190" s="18" t="str">
        <f aca="false">IF($A190="","",IF(AND(ABS(F190)&gt;=설정!$B$5,OR(D190=0,ABS(IF(D190=0,0,F190/D190))&gt;=설정!$B$6)),"●",""))</f>
        <v/>
      </c>
      <c r="O190" s="31"/>
      <c r="P190" s="44" t="str">
        <f aca="false">IF($A190="","",IF(N190="","",B190&amp;": 당월 실적 "&amp;TEXT(E190,"#,##0")&amp;설정!$B$7&amp;"으로 예산 대비 "&amp;TEXT(ABS(F190),"#,##0")&amp;설정!$B$7&amp;"("&amp;IF(D190=0,"예산 없음",TEXT(ABS(G190),"0.0%"))&amp;") "&amp;IF(C190="매출",IF(F190&gt;0,"상회","하회"),IF(F190&gt;0,"초과","절감"))&amp;" ["&amp;H190&amp;"]. 원인: "&amp;IF(O190="","___",O190)))</f>
        <v/>
      </c>
      <c r="Q190" s="45" t="str">
        <f aca="false">IF($A190="","",IF(N190="●",ABS(F190)+ROW()/1000000,0))</f>
        <v/>
      </c>
    </row>
    <row r="191" customFormat="false" ht="15" hidden="false" customHeight="false" outlineLevel="0" collapsed="false">
      <c r="A191" s="43" t="str">
        <f aca="false">IF(예산!A191="","",예산!A191)</f>
        <v/>
      </c>
      <c r="B191" s="43" t="str">
        <f aca="false">IF(예산!B191="","",예산!B191)</f>
        <v/>
      </c>
      <c r="C191" s="43" t="str">
        <f aca="false">IF(예산!C191="","",예산!C191)</f>
        <v/>
      </c>
      <c r="D191" s="9" t="str">
        <f aca="false">IF($A191="","",SUMIFS(INDEX(예산!$D$5:$O$204,0,설정!$B$4),예산!$A$5:$A$204,$A191))</f>
        <v/>
      </c>
      <c r="E191" s="9" t="str">
        <f aca="false">IF($A191="","",SUMIFS(INDEX(실적!$D$5:$O$204,0,설정!$B$4),실적!$A$5:$A$204,$A191))</f>
        <v/>
      </c>
      <c r="F191" s="9" t="str">
        <f aca="false">IF($A191="","",E191-D191)</f>
        <v/>
      </c>
      <c r="G191" s="10" t="str">
        <f aca="false">IF($A191="","",IF(D191=0,"n/a",F191/ABS(D191)))</f>
        <v/>
      </c>
      <c r="H191" s="11" t="str">
        <f aca="false">IF($A191="","",IF(F191=0,"-",IF((C191="매출")=(F191&gt;0),"유리","불리")))</f>
        <v/>
      </c>
      <c r="I191" s="9" t="str">
        <f aca="false">IF($A191="","",SUMPRODUCT((예산!$A$5:$A$204=$A191)*(COLUMN(예산!$D$4:$O$4)-COLUMN(예산!$D$4)+1&lt;=설정!$B$4)*예산!$D$5:$O$204))</f>
        <v/>
      </c>
      <c r="J191" s="9" t="str">
        <f aca="false">IF($A191="","",SUMPRODUCT((실적!$A$5:$A$204=$A191)*(COLUMN(실적!$D$4:$O$4)-COLUMN(실적!$D$4)+1&lt;=설정!$B$4)*실적!$D$5:$O$204))</f>
        <v/>
      </c>
      <c r="K191" s="9" t="str">
        <f aca="false">IF($A191="","",J191-I191)</f>
        <v/>
      </c>
      <c r="L191" s="10" t="str">
        <f aca="false">IF($A191="","",IF(I191=0,"n/a",K191/ABS(I191)))</f>
        <v/>
      </c>
      <c r="M191" s="11" t="str">
        <f aca="false">IF($A191="","",IF(K191=0,"-",IF((C191="매출")=(K191&gt;0),"유리","불리")))</f>
        <v/>
      </c>
      <c r="N191" s="18" t="str">
        <f aca="false">IF($A191="","",IF(AND(ABS(F191)&gt;=설정!$B$5,OR(D191=0,ABS(IF(D191=0,0,F191/D191))&gt;=설정!$B$6)),"●",""))</f>
        <v/>
      </c>
      <c r="O191" s="31"/>
      <c r="P191" s="44" t="str">
        <f aca="false">IF($A191="","",IF(N191="","",B191&amp;": 당월 실적 "&amp;TEXT(E191,"#,##0")&amp;설정!$B$7&amp;"으로 예산 대비 "&amp;TEXT(ABS(F191),"#,##0")&amp;설정!$B$7&amp;"("&amp;IF(D191=0,"예산 없음",TEXT(ABS(G191),"0.0%"))&amp;") "&amp;IF(C191="매출",IF(F191&gt;0,"상회","하회"),IF(F191&gt;0,"초과","절감"))&amp;" ["&amp;H191&amp;"]. 원인: "&amp;IF(O191="","___",O191)))</f>
        <v/>
      </c>
      <c r="Q191" s="45" t="str">
        <f aca="false">IF($A191="","",IF(N191="●",ABS(F191)+ROW()/1000000,0))</f>
        <v/>
      </c>
    </row>
    <row r="192" customFormat="false" ht="15" hidden="false" customHeight="false" outlineLevel="0" collapsed="false">
      <c r="A192" s="43" t="str">
        <f aca="false">IF(예산!A192="","",예산!A192)</f>
        <v/>
      </c>
      <c r="B192" s="43" t="str">
        <f aca="false">IF(예산!B192="","",예산!B192)</f>
        <v/>
      </c>
      <c r="C192" s="43" t="str">
        <f aca="false">IF(예산!C192="","",예산!C192)</f>
        <v/>
      </c>
      <c r="D192" s="9" t="str">
        <f aca="false">IF($A192="","",SUMIFS(INDEX(예산!$D$5:$O$204,0,설정!$B$4),예산!$A$5:$A$204,$A192))</f>
        <v/>
      </c>
      <c r="E192" s="9" t="str">
        <f aca="false">IF($A192="","",SUMIFS(INDEX(실적!$D$5:$O$204,0,설정!$B$4),실적!$A$5:$A$204,$A192))</f>
        <v/>
      </c>
      <c r="F192" s="9" t="str">
        <f aca="false">IF($A192="","",E192-D192)</f>
        <v/>
      </c>
      <c r="G192" s="10" t="str">
        <f aca="false">IF($A192="","",IF(D192=0,"n/a",F192/ABS(D192)))</f>
        <v/>
      </c>
      <c r="H192" s="11" t="str">
        <f aca="false">IF($A192="","",IF(F192=0,"-",IF((C192="매출")=(F192&gt;0),"유리","불리")))</f>
        <v/>
      </c>
      <c r="I192" s="9" t="str">
        <f aca="false">IF($A192="","",SUMPRODUCT((예산!$A$5:$A$204=$A192)*(COLUMN(예산!$D$4:$O$4)-COLUMN(예산!$D$4)+1&lt;=설정!$B$4)*예산!$D$5:$O$204))</f>
        <v/>
      </c>
      <c r="J192" s="9" t="str">
        <f aca="false">IF($A192="","",SUMPRODUCT((실적!$A$5:$A$204=$A192)*(COLUMN(실적!$D$4:$O$4)-COLUMN(실적!$D$4)+1&lt;=설정!$B$4)*실적!$D$5:$O$204))</f>
        <v/>
      </c>
      <c r="K192" s="9" t="str">
        <f aca="false">IF($A192="","",J192-I192)</f>
        <v/>
      </c>
      <c r="L192" s="10" t="str">
        <f aca="false">IF($A192="","",IF(I192=0,"n/a",K192/ABS(I192)))</f>
        <v/>
      </c>
      <c r="M192" s="11" t="str">
        <f aca="false">IF($A192="","",IF(K192=0,"-",IF((C192="매출")=(K192&gt;0),"유리","불리")))</f>
        <v/>
      </c>
      <c r="N192" s="18" t="str">
        <f aca="false">IF($A192="","",IF(AND(ABS(F192)&gt;=설정!$B$5,OR(D192=0,ABS(IF(D192=0,0,F192/D192))&gt;=설정!$B$6)),"●",""))</f>
        <v/>
      </c>
      <c r="O192" s="31"/>
      <c r="P192" s="44" t="str">
        <f aca="false">IF($A192="","",IF(N192="","",B192&amp;": 당월 실적 "&amp;TEXT(E192,"#,##0")&amp;설정!$B$7&amp;"으로 예산 대비 "&amp;TEXT(ABS(F192),"#,##0")&amp;설정!$B$7&amp;"("&amp;IF(D192=0,"예산 없음",TEXT(ABS(G192),"0.0%"))&amp;") "&amp;IF(C192="매출",IF(F192&gt;0,"상회","하회"),IF(F192&gt;0,"초과","절감"))&amp;" ["&amp;H192&amp;"]. 원인: "&amp;IF(O192="","___",O192)))</f>
        <v/>
      </c>
      <c r="Q192" s="45" t="str">
        <f aca="false">IF($A192="","",IF(N192="●",ABS(F192)+ROW()/1000000,0))</f>
        <v/>
      </c>
    </row>
    <row r="193" customFormat="false" ht="15" hidden="false" customHeight="false" outlineLevel="0" collapsed="false">
      <c r="A193" s="43" t="str">
        <f aca="false">IF(예산!A193="","",예산!A193)</f>
        <v/>
      </c>
      <c r="B193" s="43" t="str">
        <f aca="false">IF(예산!B193="","",예산!B193)</f>
        <v/>
      </c>
      <c r="C193" s="43" t="str">
        <f aca="false">IF(예산!C193="","",예산!C193)</f>
        <v/>
      </c>
      <c r="D193" s="9" t="str">
        <f aca="false">IF($A193="","",SUMIFS(INDEX(예산!$D$5:$O$204,0,설정!$B$4),예산!$A$5:$A$204,$A193))</f>
        <v/>
      </c>
      <c r="E193" s="9" t="str">
        <f aca="false">IF($A193="","",SUMIFS(INDEX(실적!$D$5:$O$204,0,설정!$B$4),실적!$A$5:$A$204,$A193))</f>
        <v/>
      </c>
      <c r="F193" s="9" t="str">
        <f aca="false">IF($A193="","",E193-D193)</f>
        <v/>
      </c>
      <c r="G193" s="10" t="str">
        <f aca="false">IF($A193="","",IF(D193=0,"n/a",F193/ABS(D193)))</f>
        <v/>
      </c>
      <c r="H193" s="11" t="str">
        <f aca="false">IF($A193="","",IF(F193=0,"-",IF((C193="매출")=(F193&gt;0),"유리","불리")))</f>
        <v/>
      </c>
      <c r="I193" s="9" t="str">
        <f aca="false">IF($A193="","",SUMPRODUCT((예산!$A$5:$A$204=$A193)*(COLUMN(예산!$D$4:$O$4)-COLUMN(예산!$D$4)+1&lt;=설정!$B$4)*예산!$D$5:$O$204))</f>
        <v/>
      </c>
      <c r="J193" s="9" t="str">
        <f aca="false">IF($A193="","",SUMPRODUCT((실적!$A$5:$A$204=$A193)*(COLUMN(실적!$D$4:$O$4)-COLUMN(실적!$D$4)+1&lt;=설정!$B$4)*실적!$D$5:$O$204))</f>
        <v/>
      </c>
      <c r="K193" s="9" t="str">
        <f aca="false">IF($A193="","",J193-I193)</f>
        <v/>
      </c>
      <c r="L193" s="10" t="str">
        <f aca="false">IF($A193="","",IF(I193=0,"n/a",K193/ABS(I193)))</f>
        <v/>
      </c>
      <c r="M193" s="11" t="str">
        <f aca="false">IF($A193="","",IF(K193=0,"-",IF((C193="매출")=(K193&gt;0),"유리","불리")))</f>
        <v/>
      </c>
      <c r="N193" s="18" t="str">
        <f aca="false">IF($A193="","",IF(AND(ABS(F193)&gt;=설정!$B$5,OR(D193=0,ABS(IF(D193=0,0,F193/D193))&gt;=설정!$B$6)),"●",""))</f>
        <v/>
      </c>
      <c r="O193" s="31"/>
      <c r="P193" s="44" t="str">
        <f aca="false">IF($A193="","",IF(N193="","",B193&amp;": 당월 실적 "&amp;TEXT(E193,"#,##0")&amp;설정!$B$7&amp;"으로 예산 대비 "&amp;TEXT(ABS(F193),"#,##0")&amp;설정!$B$7&amp;"("&amp;IF(D193=0,"예산 없음",TEXT(ABS(G193),"0.0%"))&amp;") "&amp;IF(C193="매출",IF(F193&gt;0,"상회","하회"),IF(F193&gt;0,"초과","절감"))&amp;" ["&amp;H193&amp;"]. 원인: "&amp;IF(O193="","___",O193)))</f>
        <v/>
      </c>
      <c r="Q193" s="45" t="str">
        <f aca="false">IF($A193="","",IF(N193="●",ABS(F193)+ROW()/1000000,0))</f>
        <v/>
      </c>
    </row>
    <row r="194" customFormat="false" ht="15" hidden="false" customHeight="false" outlineLevel="0" collapsed="false">
      <c r="A194" s="43" t="str">
        <f aca="false">IF(예산!A194="","",예산!A194)</f>
        <v/>
      </c>
      <c r="B194" s="43" t="str">
        <f aca="false">IF(예산!B194="","",예산!B194)</f>
        <v/>
      </c>
      <c r="C194" s="43" t="str">
        <f aca="false">IF(예산!C194="","",예산!C194)</f>
        <v/>
      </c>
      <c r="D194" s="9" t="str">
        <f aca="false">IF($A194="","",SUMIFS(INDEX(예산!$D$5:$O$204,0,설정!$B$4),예산!$A$5:$A$204,$A194))</f>
        <v/>
      </c>
      <c r="E194" s="9" t="str">
        <f aca="false">IF($A194="","",SUMIFS(INDEX(실적!$D$5:$O$204,0,설정!$B$4),실적!$A$5:$A$204,$A194))</f>
        <v/>
      </c>
      <c r="F194" s="9" t="str">
        <f aca="false">IF($A194="","",E194-D194)</f>
        <v/>
      </c>
      <c r="G194" s="10" t="str">
        <f aca="false">IF($A194="","",IF(D194=0,"n/a",F194/ABS(D194)))</f>
        <v/>
      </c>
      <c r="H194" s="11" t="str">
        <f aca="false">IF($A194="","",IF(F194=0,"-",IF((C194="매출")=(F194&gt;0),"유리","불리")))</f>
        <v/>
      </c>
      <c r="I194" s="9" t="str">
        <f aca="false">IF($A194="","",SUMPRODUCT((예산!$A$5:$A$204=$A194)*(COLUMN(예산!$D$4:$O$4)-COLUMN(예산!$D$4)+1&lt;=설정!$B$4)*예산!$D$5:$O$204))</f>
        <v/>
      </c>
      <c r="J194" s="9" t="str">
        <f aca="false">IF($A194="","",SUMPRODUCT((실적!$A$5:$A$204=$A194)*(COLUMN(실적!$D$4:$O$4)-COLUMN(실적!$D$4)+1&lt;=설정!$B$4)*실적!$D$5:$O$204))</f>
        <v/>
      </c>
      <c r="K194" s="9" t="str">
        <f aca="false">IF($A194="","",J194-I194)</f>
        <v/>
      </c>
      <c r="L194" s="10" t="str">
        <f aca="false">IF($A194="","",IF(I194=0,"n/a",K194/ABS(I194)))</f>
        <v/>
      </c>
      <c r="M194" s="11" t="str">
        <f aca="false">IF($A194="","",IF(K194=0,"-",IF((C194="매출")=(K194&gt;0),"유리","불리")))</f>
        <v/>
      </c>
      <c r="N194" s="18" t="str">
        <f aca="false">IF($A194="","",IF(AND(ABS(F194)&gt;=설정!$B$5,OR(D194=0,ABS(IF(D194=0,0,F194/D194))&gt;=설정!$B$6)),"●",""))</f>
        <v/>
      </c>
      <c r="O194" s="31"/>
      <c r="P194" s="44" t="str">
        <f aca="false">IF($A194="","",IF(N194="","",B194&amp;": 당월 실적 "&amp;TEXT(E194,"#,##0")&amp;설정!$B$7&amp;"으로 예산 대비 "&amp;TEXT(ABS(F194),"#,##0")&amp;설정!$B$7&amp;"("&amp;IF(D194=0,"예산 없음",TEXT(ABS(G194),"0.0%"))&amp;") "&amp;IF(C194="매출",IF(F194&gt;0,"상회","하회"),IF(F194&gt;0,"초과","절감"))&amp;" ["&amp;H194&amp;"]. 원인: "&amp;IF(O194="","___",O194)))</f>
        <v/>
      </c>
      <c r="Q194" s="45" t="str">
        <f aca="false">IF($A194="","",IF(N194="●",ABS(F194)+ROW()/1000000,0))</f>
        <v/>
      </c>
    </row>
    <row r="195" customFormat="false" ht="15" hidden="false" customHeight="false" outlineLevel="0" collapsed="false">
      <c r="A195" s="43" t="str">
        <f aca="false">IF(예산!A195="","",예산!A195)</f>
        <v/>
      </c>
      <c r="B195" s="43" t="str">
        <f aca="false">IF(예산!B195="","",예산!B195)</f>
        <v/>
      </c>
      <c r="C195" s="43" t="str">
        <f aca="false">IF(예산!C195="","",예산!C195)</f>
        <v/>
      </c>
      <c r="D195" s="9" t="str">
        <f aca="false">IF($A195="","",SUMIFS(INDEX(예산!$D$5:$O$204,0,설정!$B$4),예산!$A$5:$A$204,$A195))</f>
        <v/>
      </c>
      <c r="E195" s="9" t="str">
        <f aca="false">IF($A195="","",SUMIFS(INDEX(실적!$D$5:$O$204,0,설정!$B$4),실적!$A$5:$A$204,$A195))</f>
        <v/>
      </c>
      <c r="F195" s="9" t="str">
        <f aca="false">IF($A195="","",E195-D195)</f>
        <v/>
      </c>
      <c r="G195" s="10" t="str">
        <f aca="false">IF($A195="","",IF(D195=0,"n/a",F195/ABS(D195)))</f>
        <v/>
      </c>
      <c r="H195" s="11" t="str">
        <f aca="false">IF($A195="","",IF(F195=0,"-",IF((C195="매출")=(F195&gt;0),"유리","불리")))</f>
        <v/>
      </c>
      <c r="I195" s="9" t="str">
        <f aca="false">IF($A195="","",SUMPRODUCT((예산!$A$5:$A$204=$A195)*(COLUMN(예산!$D$4:$O$4)-COLUMN(예산!$D$4)+1&lt;=설정!$B$4)*예산!$D$5:$O$204))</f>
        <v/>
      </c>
      <c r="J195" s="9" t="str">
        <f aca="false">IF($A195="","",SUMPRODUCT((실적!$A$5:$A$204=$A195)*(COLUMN(실적!$D$4:$O$4)-COLUMN(실적!$D$4)+1&lt;=설정!$B$4)*실적!$D$5:$O$204))</f>
        <v/>
      </c>
      <c r="K195" s="9" t="str">
        <f aca="false">IF($A195="","",J195-I195)</f>
        <v/>
      </c>
      <c r="L195" s="10" t="str">
        <f aca="false">IF($A195="","",IF(I195=0,"n/a",K195/ABS(I195)))</f>
        <v/>
      </c>
      <c r="M195" s="11" t="str">
        <f aca="false">IF($A195="","",IF(K195=0,"-",IF((C195="매출")=(K195&gt;0),"유리","불리")))</f>
        <v/>
      </c>
      <c r="N195" s="18" t="str">
        <f aca="false">IF($A195="","",IF(AND(ABS(F195)&gt;=설정!$B$5,OR(D195=0,ABS(IF(D195=0,0,F195/D195))&gt;=설정!$B$6)),"●",""))</f>
        <v/>
      </c>
      <c r="O195" s="31"/>
      <c r="P195" s="44" t="str">
        <f aca="false">IF($A195="","",IF(N195="","",B195&amp;": 당월 실적 "&amp;TEXT(E195,"#,##0")&amp;설정!$B$7&amp;"으로 예산 대비 "&amp;TEXT(ABS(F195),"#,##0")&amp;설정!$B$7&amp;"("&amp;IF(D195=0,"예산 없음",TEXT(ABS(G195),"0.0%"))&amp;") "&amp;IF(C195="매출",IF(F195&gt;0,"상회","하회"),IF(F195&gt;0,"초과","절감"))&amp;" ["&amp;H195&amp;"]. 원인: "&amp;IF(O195="","___",O195)))</f>
        <v/>
      </c>
      <c r="Q195" s="45" t="str">
        <f aca="false">IF($A195="","",IF(N195="●",ABS(F195)+ROW()/1000000,0))</f>
        <v/>
      </c>
    </row>
    <row r="196" customFormat="false" ht="15" hidden="false" customHeight="false" outlineLevel="0" collapsed="false">
      <c r="A196" s="43" t="str">
        <f aca="false">IF(예산!A196="","",예산!A196)</f>
        <v/>
      </c>
      <c r="B196" s="43" t="str">
        <f aca="false">IF(예산!B196="","",예산!B196)</f>
        <v/>
      </c>
      <c r="C196" s="43" t="str">
        <f aca="false">IF(예산!C196="","",예산!C196)</f>
        <v/>
      </c>
      <c r="D196" s="9" t="str">
        <f aca="false">IF($A196="","",SUMIFS(INDEX(예산!$D$5:$O$204,0,설정!$B$4),예산!$A$5:$A$204,$A196))</f>
        <v/>
      </c>
      <c r="E196" s="9" t="str">
        <f aca="false">IF($A196="","",SUMIFS(INDEX(실적!$D$5:$O$204,0,설정!$B$4),실적!$A$5:$A$204,$A196))</f>
        <v/>
      </c>
      <c r="F196" s="9" t="str">
        <f aca="false">IF($A196="","",E196-D196)</f>
        <v/>
      </c>
      <c r="G196" s="10" t="str">
        <f aca="false">IF($A196="","",IF(D196=0,"n/a",F196/ABS(D196)))</f>
        <v/>
      </c>
      <c r="H196" s="11" t="str">
        <f aca="false">IF($A196="","",IF(F196=0,"-",IF((C196="매출")=(F196&gt;0),"유리","불리")))</f>
        <v/>
      </c>
      <c r="I196" s="9" t="str">
        <f aca="false">IF($A196="","",SUMPRODUCT((예산!$A$5:$A$204=$A196)*(COLUMN(예산!$D$4:$O$4)-COLUMN(예산!$D$4)+1&lt;=설정!$B$4)*예산!$D$5:$O$204))</f>
        <v/>
      </c>
      <c r="J196" s="9" t="str">
        <f aca="false">IF($A196="","",SUMPRODUCT((실적!$A$5:$A$204=$A196)*(COLUMN(실적!$D$4:$O$4)-COLUMN(실적!$D$4)+1&lt;=설정!$B$4)*실적!$D$5:$O$204))</f>
        <v/>
      </c>
      <c r="K196" s="9" t="str">
        <f aca="false">IF($A196="","",J196-I196)</f>
        <v/>
      </c>
      <c r="L196" s="10" t="str">
        <f aca="false">IF($A196="","",IF(I196=0,"n/a",K196/ABS(I196)))</f>
        <v/>
      </c>
      <c r="M196" s="11" t="str">
        <f aca="false">IF($A196="","",IF(K196=0,"-",IF((C196="매출")=(K196&gt;0),"유리","불리")))</f>
        <v/>
      </c>
      <c r="N196" s="18" t="str">
        <f aca="false">IF($A196="","",IF(AND(ABS(F196)&gt;=설정!$B$5,OR(D196=0,ABS(IF(D196=0,0,F196/D196))&gt;=설정!$B$6)),"●",""))</f>
        <v/>
      </c>
      <c r="O196" s="31"/>
      <c r="P196" s="44" t="str">
        <f aca="false">IF($A196="","",IF(N196="","",B196&amp;": 당월 실적 "&amp;TEXT(E196,"#,##0")&amp;설정!$B$7&amp;"으로 예산 대비 "&amp;TEXT(ABS(F196),"#,##0")&amp;설정!$B$7&amp;"("&amp;IF(D196=0,"예산 없음",TEXT(ABS(G196),"0.0%"))&amp;") "&amp;IF(C196="매출",IF(F196&gt;0,"상회","하회"),IF(F196&gt;0,"초과","절감"))&amp;" ["&amp;H196&amp;"]. 원인: "&amp;IF(O196="","___",O196)))</f>
        <v/>
      </c>
      <c r="Q196" s="45" t="str">
        <f aca="false">IF($A196="","",IF(N196="●",ABS(F196)+ROW()/1000000,0))</f>
        <v/>
      </c>
    </row>
    <row r="197" customFormat="false" ht="15" hidden="false" customHeight="false" outlineLevel="0" collapsed="false">
      <c r="A197" s="43" t="str">
        <f aca="false">IF(예산!A197="","",예산!A197)</f>
        <v/>
      </c>
      <c r="B197" s="43" t="str">
        <f aca="false">IF(예산!B197="","",예산!B197)</f>
        <v/>
      </c>
      <c r="C197" s="43" t="str">
        <f aca="false">IF(예산!C197="","",예산!C197)</f>
        <v/>
      </c>
      <c r="D197" s="9" t="str">
        <f aca="false">IF($A197="","",SUMIFS(INDEX(예산!$D$5:$O$204,0,설정!$B$4),예산!$A$5:$A$204,$A197))</f>
        <v/>
      </c>
      <c r="E197" s="9" t="str">
        <f aca="false">IF($A197="","",SUMIFS(INDEX(실적!$D$5:$O$204,0,설정!$B$4),실적!$A$5:$A$204,$A197))</f>
        <v/>
      </c>
      <c r="F197" s="9" t="str">
        <f aca="false">IF($A197="","",E197-D197)</f>
        <v/>
      </c>
      <c r="G197" s="10" t="str">
        <f aca="false">IF($A197="","",IF(D197=0,"n/a",F197/ABS(D197)))</f>
        <v/>
      </c>
      <c r="H197" s="11" t="str">
        <f aca="false">IF($A197="","",IF(F197=0,"-",IF((C197="매출")=(F197&gt;0),"유리","불리")))</f>
        <v/>
      </c>
      <c r="I197" s="9" t="str">
        <f aca="false">IF($A197="","",SUMPRODUCT((예산!$A$5:$A$204=$A197)*(COLUMN(예산!$D$4:$O$4)-COLUMN(예산!$D$4)+1&lt;=설정!$B$4)*예산!$D$5:$O$204))</f>
        <v/>
      </c>
      <c r="J197" s="9" t="str">
        <f aca="false">IF($A197="","",SUMPRODUCT((실적!$A$5:$A$204=$A197)*(COLUMN(실적!$D$4:$O$4)-COLUMN(실적!$D$4)+1&lt;=설정!$B$4)*실적!$D$5:$O$204))</f>
        <v/>
      </c>
      <c r="K197" s="9" t="str">
        <f aca="false">IF($A197="","",J197-I197)</f>
        <v/>
      </c>
      <c r="L197" s="10" t="str">
        <f aca="false">IF($A197="","",IF(I197=0,"n/a",K197/ABS(I197)))</f>
        <v/>
      </c>
      <c r="M197" s="11" t="str">
        <f aca="false">IF($A197="","",IF(K197=0,"-",IF((C197="매출")=(K197&gt;0),"유리","불리")))</f>
        <v/>
      </c>
      <c r="N197" s="18" t="str">
        <f aca="false">IF($A197="","",IF(AND(ABS(F197)&gt;=설정!$B$5,OR(D197=0,ABS(IF(D197=0,0,F197/D197))&gt;=설정!$B$6)),"●",""))</f>
        <v/>
      </c>
      <c r="O197" s="31"/>
      <c r="P197" s="44" t="str">
        <f aca="false">IF($A197="","",IF(N197="","",B197&amp;": 당월 실적 "&amp;TEXT(E197,"#,##0")&amp;설정!$B$7&amp;"으로 예산 대비 "&amp;TEXT(ABS(F197),"#,##0")&amp;설정!$B$7&amp;"("&amp;IF(D197=0,"예산 없음",TEXT(ABS(G197),"0.0%"))&amp;") "&amp;IF(C197="매출",IF(F197&gt;0,"상회","하회"),IF(F197&gt;0,"초과","절감"))&amp;" ["&amp;H197&amp;"]. 원인: "&amp;IF(O197="","___",O197)))</f>
        <v/>
      </c>
      <c r="Q197" s="45" t="str">
        <f aca="false">IF($A197="","",IF(N197="●",ABS(F197)+ROW()/1000000,0))</f>
        <v/>
      </c>
    </row>
    <row r="198" customFormat="false" ht="15" hidden="false" customHeight="false" outlineLevel="0" collapsed="false">
      <c r="A198" s="43" t="str">
        <f aca="false">IF(예산!A198="","",예산!A198)</f>
        <v/>
      </c>
      <c r="B198" s="43" t="str">
        <f aca="false">IF(예산!B198="","",예산!B198)</f>
        <v/>
      </c>
      <c r="C198" s="43" t="str">
        <f aca="false">IF(예산!C198="","",예산!C198)</f>
        <v/>
      </c>
      <c r="D198" s="9" t="str">
        <f aca="false">IF($A198="","",SUMIFS(INDEX(예산!$D$5:$O$204,0,설정!$B$4),예산!$A$5:$A$204,$A198))</f>
        <v/>
      </c>
      <c r="E198" s="9" t="str">
        <f aca="false">IF($A198="","",SUMIFS(INDEX(실적!$D$5:$O$204,0,설정!$B$4),실적!$A$5:$A$204,$A198))</f>
        <v/>
      </c>
      <c r="F198" s="9" t="str">
        <f aca="false">IF($A198="","",E198-D198)</f>
        <v/>
      </c>
      <c r="G198" s="10" t="str">
        <f aca="false">IF($A198="","",IF(D198=0,"n/a",F198/ABS(D198)))</f>
        <v/>
      </c>
      <c r="H198" s="11" t="str">
        <f aca="false">IF($A198="","",IF(F198=0,"-",IF((C198="매출")=(F198&gt;0),"유리","불리")))</f>
        <v/>
      </c>
      <c r="I198" s="9" t="str">
        <f aca="false">IF($A198="","",SUMPRODUCT((예산!$A$5:$A$204=$A198)*(COLUMN(예산!$D$4:$O$4)-COLUMN(예산!$D$4)+1&lt;=설정!$B$4)*예산!$D$5:$O$204))</f>
        <v/>
      </c>
      <c r="J198" s="9" t="str">
        <f aca="false">IF($A198="","",SUMPRODUCT((실적!$A$5:$A$204=$A198)*(COLUMN(실적!$D$4:$O$4)-COLUMN(실적!$D$4)+1&lt;=설정!$B$4)*실적!$D$5:$O$204))</f>
        <v/>
      </c>
      <c r="K198" s="9" t="str">
        <f aca="false">IF($A198="","",J198-I198)</f>
        <v/>
      </c>
      <c r="L198" s="10" t="str">
        <f aca="false">IF($A198="","",IF(I198=0,"n/a",K198/ABS(I198)))</f>
        <v/>
      </c>
      <c r="M198" s="11" t="str">
        <f aca="false">IF($A198="","",IF(K198=0,"-",IF((C198="매출")=(K198&gt;0),"유리","불리")))</f>
        <v/>
      </c>
      <c r="N198" s="18" t="str">
        <f aca="false">IF($A198="","",IF(AND(ABS(F198)&gt;=설정!$B$5,OR(D198=0,ABS(IF(D198=0,0,F198/D198))&gt;=설정!$B$6)),"●",""))</f>
        <v/>
      </c>
      <c r="O198" s="31"/>
      <c r="P198" s="44" t="str">
        <f aca="false">IF($A198="","",IF(N198="","",B198&amp;": 당월 실적 "&amp;TEXT(E198,"#,##0")&amp;설정!$B$7&amp;"으로 예산 대비 "&amp;TEXT(ABS(F198),"#,##0")&amp;설정!$B$7&amp;"("&amp;IF(D198=0,"예산 없음",TEXT(ABS(G198),"0.0%"))&amp;") "&amp;IF(C198="매출",IF(F198&gt;0,"상회","하회"),IF(F198&gt;0,"초과","절감"))&amp;" ["&amp;H198&amp;"]. 원인: "&amp;IF(O198="","___",O198)))</f>
        <v/>
      </c>
      <c r="Q198" s="45" t="str">
        <f aca="false">IF($A198="","",IF(N198="●",ABS(F198)+ROW()/1000000,0))</f>
        <v/>
      </c>
    </row>
    <row r="199" customFormat="false" ht="15" hidden="false" customHeight="false" outlineLevel="0" collapsed="false">
      <c r="A199" s="43" t="str">
        <f aca="false">IF(예산!A199="","",예산!A199)</f>
        <v/>
      </c>
      <c r="B199" s="43" t="str">
        <f aca="false">IF(예산!B199="","",예산!B199)</f>
        <v/>
      </c>
      <c r="C199" s="43" t="str">
        <f aca="false">IF(예산!C199="","",예산!C199)</f>
        <v/>
      </c>
      <c r="D199" s="9" t="str">
        <f aca="false">IF($A199="","",SUMIFS(INDEX(예산!$D$5:$O$204,0,설정!$B$4),예산!$A$5:$A$204,$A199))</f>
        <v/>
      </c>
      <c r="E199" s="9" t="str">
        <f aca="false">IF($A199="","",SUMIFS(INDEX(실적!$D$5:$O$204,0,설정!$B$4),실적!$A$5:$A$204,$A199))</f>
        <v/>
      </c>
      <c r="F199" s="9" t="str">
        <f aca="false">IF($A199="","",E199-D199)</f>
        <v/>
      </c>
      <c r="G199" s="10" t="str">
        <f aca="false">IF($A199="","",IF(D199=0,"n/a",F199/ABS(D199)))</f>
        <v/>
      </c>
      <c r="H199" s="11" t="str">
        <f aca="false">IF($A199="","",IF(F199=0,"-",IF((C199="매출")=(F199&gt;0),"유리","불리")))</f>
        <v/>
      </c>
      <c r="I199" s="9" t="str">
        <f aca="false">IF($A199="","",SUMPRODUCT((예산!$A$5:$A$204=$A199)*(COLUMN(예산!$D$4:$O$4)-COLUMN(예산!$D$4)+1&lt;=설정!$B$4)*예산!$D$5:$O$204))</f>
        <v/>
      </c>
      <c r="J199" s="9" t="str">
        <f aca="false">IF($A199="","",SUMPRODUCT((실적!$A$5:$A$204=$A199)*(COLUMN(실적!$D$4:$O$4)-COLUMN(실적!$D$4)+1&lt;=설정!$B$4)*실적!$D$5:$O$204))</f>
        <v/>
      </c>
      <c r="K199" s="9" t="str">
        <f aca="false">IF($A199="","",J199-I199)</f>
        <v/>
      </c>
      <c r="L199" s="10" t="str">
        <f aca="false">IF($A199="","",IF(I199=0,"n/a",K199/ABS(I199)))</f>
        <v/>
      </c>
      <c r="M199" s="11" t="str">
        <f aca="false">IF($A199="","",IF(K199=0,"-",IF((C199="매출")=(K199&gt;0),"유리","불리")))</f>
        <v/>
      </c>
      <c r="N199" s="18" t="str">
        <f aca="false">IF($A199="","",IF(AND(ABS(F199)&gt;=설정!$B$5,OR(D199=0,ABS(IF(D199=0,0,F199/D199))&gt;=설정!$B$6)),"●",""))</f>
        <v/>
      </c>
      <c r="O199" s="31"/>
      <c r="P199" s="44" t="str">
        <f aca="false">IF($A199="","",IF(N199="","",B199&amp;": 당월 실적 "&amp;TEXT(E199,"#,##0")&amp;설정!$B$7&amp;"으로 예산 대비 "&amp;TEXT(ABS(F199),"#,##0")&amp;설정!$B$7&amp;"("&amp;IF(D199=0,"예산 없음",TEXT(ABS(G199),"0.0%"))&amp;") "&amp;IF(C199="매출",IF(F199&gt;0,"상회","하회"),IF(F199&gt;0,"초과","절감"))&amp;" ["&amp;H199&amp;"]. 원인: "&amp;IF(O199="","___",O199)))</f>
        <v/>
      </c>
      <c r="Q199" s="45" t="str">
        <f aca="false">IF($A199="","",IF(N199="●",ABS(F199)+ROW()/1000000,0))</f>
        <v/>
      </c>
    </row>
    <row r="200" customFormat="false" ht="15" hidden="false" customHeight="false" outlineLevel="0" collapsed="false">
      <c r="A200" s="43" t="str">
        <f aca="false">IF(예산!A200="","",예산!A200)</f>
        <v/>
      </c>
      <c r="B200" s="43" t="str">
        <f aca="false">IF(예산!B200="","",예산!B200)</f>
        <v/>
      </c>
      <c r="C200" s="43" t="str">
        <f aca="false">IF(예산!C200="","",예산!C200)</f>
        <v/>
      </c>
      <c r="D200" s="9" t="str">
        <f aca="false">IF($A200="","",SUMIFS(INDEX(예산!$D$5:$O$204,0,설정!$B$4),예산!$A$5:$A$204,$A200))</f>
        <v/>
      </c>
      <c r="E200" s="9" t="str">
        <f aca="false">IF($A200="","",SUMIFS(INDEX(실적!$D$5:$O$204,0,설정!$B$4),실적!$A$5:$A$204,$A200))</f>
        <v/>
      </c>
      <c r="F200" s="9" t="str">
        <f aca="false">IF($A200="","",E200-D200)</f>
        <v/>
      </c>
      <c r="G200" s="10" t="str">
        <f aca="false">IF($A200="","",IF(D200=0,"n/a",F200/ABS(D200)))</f>
        <v/>
      </c>
      <c r="H200" s="11" t="str">
        <f aca="false">IF($A200="","",IF(F200=0,"-",IF((C200="매출")=(F200&gt;0),"유리","불리")))</f>
        <v/>
      </c>
      <c r="I200" s="9" t="str">
        <f aca="false">IF($A200="","",SUMPRODUCT((예산!$A$5:$A$204=$A200)*(COLUMN(예산!$D$4:$O$4)-COLUMN(예산!$D$4)+1&lt;=설정!$B$4)*예산!$D$5:$O$204))</f>
        <v/>
      </c>
      <c r="J200" s="9" t="str">
        <f aca="false">IF($A200="","",SUMPRODUCT((실적!$A$5:$A$204=$A200)*(COLUMN(실적!$D$4:$O$4)-COLUMN(실적!$D$4)+1&lt;=설정!$B$4)*실적!$D$5:$O$204))</f>
        <v/>
      </c>
      <c r="K200" s="9" t="str">
        <f aca="false">IF($A200="","",J200-I200)</f>
        <v/>
      </c>
      <c r="L200" s="10" t="str">
        <f aca="false">IF($A200="","",IF(I200=0,"n/a",K200/ABS(I200)))</f>
        <v/>
      </c>
      <c r="M200" s="11" t="str">
        <f aca="false">IF($A200="","",IF(K200=0,"-",IF((C200="매출")=(K200&gt;0),"유리","불리")))</f>
        <v/>
      </c>
      <c r="N200" s="18" t="str">
        <f aca="false">IF($A200="","",IF(AND(ABS(F200)&gt;=설정!$B$5,OR(D200=0,ABS(IF(D200=0,0,F200/D200))&gt;=설정!$B$6)),"●",""))</f>
        <v/>
      </c>
      <c r="O200" s="31"/>
      <c r="P200" s="44" t="str">
        <f aca="false">IF($A200="","",IF(N200="","",B200&amp;": 당월 실적 "&amp;TEXT(E200,"#,##0")&amp;설정!$B$7&amp;"으로 예산 대비 "&amp;TEXT(ABS(F200),"#,##0")&amp;설정!$B$7&amp;"("&amp;IF(D200=0,"예산 없음",TEXT(ABS(G200),"0.0%"))&amp;") "&amp;IF(C200="매출",IF(F200&gt;0,"상회","하회"),IF(F200&gt;0,"초과","절감"))&amp;" ["&amp;H200&amp;"]. 원인: "&amp;IF(O200="","___",O200)))</f>
        <v/>
      </c>
      <c r="Q200" s="45" t="str">
        <f aca="false">IF($A200="","",IF(N200="●",ABS(F200)+ROW()/1000000,0))</f>
        <v/>
      </c>
    </row>
    <row r="201" customFormat="false" ht="15" hidden="false" customHeight="false" outlineLevel="0" collapsed="false">
      <c r="A201" s="43" t="str">
        <f aca="false">IF(예산!A201="","",예산!A201)</f>
        <v/>
      </c>
      <c r="B201" s="43" t="str">
        <f aca="false">IF(예산!B201="","",예산!B201)</f>
        <v/>
      </c>
      <c r="C201" s="43" t="str">
        <f aca="false">IF(예산!C201="","",예산!C201)</f>
        <v/>
      </c>
      <c r="D201" s="9" t="str">
        <f aca="false">IF($A201="","",SUMIFS(INDEX(예산!$D$5:$O$204,0,설정!$B$4),예산!$A$5:$A$204,$A201))</f>
        <v/>
      </c>
      <c r="E201" s="9" t="str">
        <f aca="false">IF($A201="","",SUMIFS(INDEX(실적!$D$5:$O$204,0,설정!$B$4),실적!$A$5:$A$204,$A201))</f>
        <v/>
      </c>
      <c r="F201" s="9" t="str">
        <f aca="false">IF($A201="","",E201-D201)</f>
        <v/>
      </c>
      <c r="G201" s="10" t="str">
        <f aca="false">IF($A201="","",IF(D201=0,"n/a",F201/ABS(D201)))</f>
        <v/>
      </c>
      <c r="H201" s="11" t="str">
        <f aca="false">IF($A201="","",IF(F201=0,"-",IF((C201="매출")=(F201&gt;0),"유리","불리")))</f>
        <v/>
      </c>
      <c r="I201" s="9" t="str">
        <f aca="false">IF($A201="","",SUMPRODUCT((예산!$A$5:$A$204=$A201)*(COLUMN(예산!$D$4:$O$4)-COLUMN(예산!$D$4)+1&lt;=설정!$B$4)*예산!$D$5:$O$204))</f>
        <v/>
      </c>
      <c r="J201" s="9" t="str">
        <f aca="false">IF($A201="","",SUMPRODUCT((실적!$A$5:$A$204=$A201)*(COLUMN(실적!$D$4:$O$4)-COLUMN(실적!$D$4)+1&lt;=설정!$B$4)*실적!$D$5:$O$204))</f>
        <v/>
      </c>
      <c r="K201" s="9" t="str">
        <f aca="false">IF($A201="","",J201-I201)</f>
        <v/>
      </c>
      <c r="L201" s="10" t="str">
        <f aca="false">IF($A201="","",IF(I201=0,"n/a",K201/ABS(I201)))</f>
        <v/>
      </c>
      <c r="M201" s="11" t="str">
        <f aca="false">IF($A201="","",IF(K201=0,"-",IF((C201="매출")=(K201&gt;0),"유리","불리")))</f>
        <v/>
      </c>
      <c r="N201" s="18" t="str">
        <f aca="false">IF($A201="","",IF(AND(ABS(F201)&gt;=설정!$B$5,OR(D201=0,ABS(IF(D201=0,0,F201/D201))&gt;=설정!$B$6)),"●",""))</f>
        <v/>
      </c>
      <c r="O201" s="31"/>
      <c r="P201" s="44" t="str">
        <f aca="false">IF($A201="","",IF(N201="","",B201&amp;": 당월 실적 "&amp;TEXT(E201,"#,##0")&amp;설정!$B$7&amp;"으로 예산 대비 "&amp;TEXT(ABS(F201),"#,##0")&amp;설정!$B$7&amp;"("&amp;IF(D201=0,"예산 없음",TEXT(ABS(G201),"0.0%"))&amp;") "&amp;IF(C201="매출",IF(F201&gt;0,"상회","하회"),IF(F201&gt;0,"초과","절감"))&amp;" ["&amp;H201&amp;"]. 원인: "&amp;IF(O201="","___",O201)))</f>
        <v/>
      </c>
      <c r="Q201" s="45" t="str">
        <f aca="false">IF($A201="","",IF(N201="●",ABS(F201)+ROW()/1000000,0))</f>
        <v/>
      </c>
    </row>
    <row r="202" customFormat="false" ht="15" hidden="false" customHeight="false" outlineLevel="0" collapsed="false">
      <c r="A202" s="43" t="str">
        <f aca="false">IF(예산!A202="","",예산!A202)</f>
        <v/>
      </c>
      <c r="B202" s="43" t="str">
        <f aca="false">IF(예산!B202="","",예산!B202)</f>
        <v/>
      </c>
      <c r="C202" s="43" t="str">
        <f aca="false">IF(예산!C202="","",예산!C202)</f>
        <v/>
      </c>
      <c r="D202" s="9" t="str">
        <f aca="false">IF($A202="","",SUMIFS(INDEX(예산!$D$5:$O$204,0,설정!$B$4),예산!$A$5:$A$204,$A202))</f>
        <v/>
      </c>
      <c r="E202" s="9" t="str">
        <f aca="false">IF($A202="","",SUMIFS(INDEX(실적!$D$5:$O$204,0,설정!$B$4),실적!$A$5:$A$204,$A202))</f>
        <v/>
      </c>
      <c r="F202" s="9" t="str">
        <f aca="false">IF($A202="","",E202-D202)</f>
        <v/>
      </c>
      <c r="G202" s="10" t="str">
        <f aca="false">IF($A202="","",IF(D202=0,"n/a",F202/ABS(D202)))</f>
        <v/>
      </c>
      <c r="H202" s="11" t="str">
        <f aca="false">IF($A202="","",IF(F202=0,"-",IF((C202="매출")=(F202&gt;0),"유리","불리")))</f>
        <v/>
      </c>
      <c r="I202" s="9" t="str">
        <f aca="false">IF($A202="","",SUMPRODUCT((예산!$A$5:$A$204=$A202)*(COLUMN(예산!$D$4:$O$4)-COLUMN(예산!$D$4)+1&lt;=설정!$B$4)*예산!$D$5:$O$204))</f>
        <v/>
      </c>
      <c r="J202" s="9" t="str">
        <f aca="false">IF($A202="","",SUMPRODUCT((실적!$A$5:$A$204=$A202)*(COLUMN(실적!$D$4:$O$4)-COLUMN(실적!$D$4)+1&lt;=설정!$B$4)*실적!$D$5:$O$204))</f>
        <v/>
      </c>
      <c r="K202" s="9" t="str">
        <f aca="false">IF($A202="","",J202-I202)</f>
        <v/>
      </c>
      <c r="L202" s="10" t="str">
        <f aca="false">IF($A202="","",IF(I202=0,"n/a",K202/ABS(I202)))</f>
        <v/>
      </c>
      <c r="M202" s="11" t="str">
        <f aca="false">IF($A202="","",IF(K202=0,"-",IF((C202="매출")=(K202&gt;0),"유리","불리")))</f>
        <v/>
      </c>
      <c r="N202" s="18" t="str">
        <f aca="false">IF($A202="","",IF(AND(ABS(F202)&gt;=설정!$B$5,OR(D202=0,ABS(IF(D202=0,0,F202/D202))&gt;=설정!$B$6)),"●",""))</f>
        <v/>
      </c>
      <c r="O202" s="31"/>
      <c r="P202" s="44" t="str">
        <f aca="false">IF($A202="","",IF(N202="","",B202&amp;": 당월 실적 "&amp;TEXT(E202,"#,##0")&amp;설정!$B$7&amp;"으로 예산 대비 "&amp;TEXT(ABS(F202),"#,##0")&amp;설정!$B$7&amp;"("&amp;IF(D202=0,"예산 없음",TEXT(ABS(G202),"0.0%"))&amp;") "&amp;IF(C202="매출",IF(F202&gt;0,"상회","하회"),IF(F202&gt;0,"초과","절감"))&amp;" ["&amp;H202&amp;"]. 원인: "&amp;IF(O202="","___",O202)))</f>
        <v/>
      </c>
      <c r="Q202" s="45" t="str">
        <f aca="false">IF($A202="","",IF(N202="●",ABS(F202)+ROW()/1000000,0))</f>
        <v/>
      </c>
    </row>
    <row r="203" customFormat="false" ht="15" hidden="false" customHeight="false" outlineLevel="0" collapsed="false">
      <c r="A203" s="43" t="str">
        <f aca="false">IF(예산!A203="","",예산!A203)</f>
        <v/>
      </c>
      <c r="B203" s="43" t="str">
        <f aca="false">IF(예산!B203="","",예산!B203)</f>
        <v/>
      </c>
      <c r="C203" s="43" t="str">
        <f aca="false">IF(예산!C203="","",예산!C203)</f>
        <v/>
      </c>
      <c r="D203" s="9" t="str">
        <f aca="false">IF($A203="","",SUMIFS(INDEX(예산!$D$5:$O$204,0,설정!$B$4),예산!$A$5:$A$204,$A203))</f>
        <v/>
      </c>
      <c r="E203" s="9" t="str">
        <f aca="false">IF($A203="","",SUMIFS(INDEX(실적!$D$5:$O$204,0,설정!$B$4),실적!$A$5:$A$204,$A203))</f>
        <v/>
      </c>
      <c r="F203" s="9" t="str">
        <f aca="false">IF($A203="","",E203-D203)</f>
        <v/>
      </c>
      <c r="G203" s="10" t="str">
        <f aca="false">IF($A203="","",IF(D203=0,"n/a",F203/ABS(D203)))</f>
        <v/>
      </c>
      <c r="H203" s="11" t="str">
        <f aca="false">IF($A203="","",IF(F203=0,"-",IF((C203="매출")=(F203&gt;0),"유리","불리")))</f>
        <v/>
      </c>
      <c r="I203" s="9" t="str">
        <f aca="false">IF($A203="","",SUMPRODUCT((예산!$A$5:$A$204=$A203)*(COLUMN(예산!$D$4:$O$4)-COLUMN(예산!$D$4)+1&lt;=설정!$B$4)*예산!$D$5:$O$204))</f>
        <v/>
      </c>
      <c r="J203" s="9" t="str">
        <f aca="false">IF($A203="","",SUMPRODUCT((실적!$A$5:$A$204=$A203)*(COLUMN(실적!$D$4:$O$4)-COLUMN(실적!$D$4)+1&lt;=설정!$B$4)*실적!$D$5:$O$204))</f>
        <v/>
      </c>
      <c r="K203" s="9" t="str">
        <f aca="false">IF($A203="","",J203-I203)</f>
        <v/>
      </c>
      <c r="L203" s="10" t="str">
        <f aca="false">IF($A203="","",IF(I203=0,"n/a",K203/ABS(I203)))</f>
        <v/>
      </c>
      <c r="M203" s="11" t="str">
        <f aca="false">IF($A203="","",IF(K203=0,"-",IF((C203="매출")=(K203&gt;0),"유리","불리")))</f>
        <v/>
      </c>
      <c r="N203" s="18" t="str">
        <f aca="false">IF($A203="","",IF(AND(ABS(F203)&gt;=설정!$B$5,OR(D203=0,ABS(IF(D203=0,0,F203/D203))&gt;=설정!$B$6)),"●",""))</f>
        <v/>
      </c>
      <c r="O203" s="31"/>
      <c r="P203" s="44" t="str">
        <f aca="false">IF($A203="","",IF(N203="","",B203&amp;": 당월 실적 "&amp;TEXT(E203,"#,##0")&amp;설정!$B$7&amp;"으로 예산 대비 "&amp;TEXT(ABS(F203),"#,##0")&amp;설정!$B$7&amp;"("&amp;IF(D203=0,"예산 없음",TEXT(ABS(G203),"0.0%"))&amp;") "&amp;IF(C203="매출",IF(F203&gt;0,"상회","하회"),IF(F203&gt;0,"초과","절감"))&amp;" ["&amp;H203&amp;"]. 원인: "&amp;IF(O203="","___",O203)))</f>
        <v/>
      </c>
      <c r="Q203" s="45" t="str">
        <f aca="false">IF($A203="","",IF(N203="●",ABS(F203)+ROW()/1000000,0))</f>
        <v/>
      </c>
    </row>
    <row r="204" customFormat="false" ht="15" hidden="false" customHeight="false" outlineLevel="0" collapsed="false">
      <c r="A204" s="43" t="str">
        <f aca="false">IF(예산!A204="","",예산!A204)</f>
        <v/>
      </c>
      <c r="B204" s="43" t="str">
        <f aca="false">IF(예산!B204="","",예산!B204)</f>
        <v/>
      </c>
      <c r="C204" s="43" t="str">
        <f aca="false">IF(예산!C204="","",예산!C204)</f>
        <v/>
      </c>
      <c r="D204" s="9" t="str">
        <f aca="false">IF($A204="","",SUMIFS(INDEX(예산!$D$5:$O$204,0,설정!$B$4),예산!$A$5:$A$204,$A204))</f>
        <v/>
      </c>
      <c r="E204" s="9" t="str">
        <f aca="false">IF($A204="","",SUMIFS(INDEX(실적!$D$5:$O$204,0,설정!$B$4),실적!$A$5:$A$204,$A204))</f>
        <v/>
      </c>
      <c r="F204" s="9" t="str">
        <f aca="false">IF($A204="","",E204-D204)</f>
        <v/>
      </c>
      <c r="G204" s="10" t="str">
        <f aca="false">IF($A204="","",IF(D204=0,"n/a",F204/ABS(D204)))</f>
        <v/>
      </c>
      <c r="H204" s="11" t="str">
        <f aca="false">IF($A204="","",IF(F204=0,"-",IF((C204="매출")=(F204&gt;0),"유리","불리")))</f>
        <v/>
      </c>
      <c r="I204" s="9" t="str">
        <f aca="false">IF($A204="","",SUMPRODUCT((예산!$A$5:$A$204=$A204)*(COLUMN(예산!$D$4:$O$4)-COLUMN(예산!$D$4)+1&lt;=설정!$B$4)*예산!$D$5:$O$204))</f>
        <v/>
      </c>
      <c r="J204" s="9" t="str">
        <f aca="false">IF($A204="","",SUMPRODUCT((실적!$A$5:$A$204=$A204)*(COLUMN(실적!$D$4:$O$4)-COLUMN(실적!$D$4)+1&lt;=설정!$B$4)*실적!$D$5:$O$204))</f>
        <v/>
      </c>
      <c r="K204" s="9" t="str">
        <f aca="false">IF($A204="","",J204-I204)</f>
        <v/>
      </c>
      <c r="L204" s="10" t="str">
        <f aca="false">IF($A204="","",IF(I204=0,"n/a",K204/ABS(I204)))</f>
        <v/>
      </c>
      <c r="M204" s="11" t="str">
        <f aca="false">IF($A204="","",IF(K204=0,"-",IF((C204="매출")=(K204&gt;0),"유리","불리")))</f>
        <v/>
      </c>
      <c r="N204" s="18" t="str">
        <f aca="false">IF($A204="","",IF(AND(ABS(F204)&gt;=설정!$B$5,OR(D204=0,ABS(IF(D204=0,0,F204/D204))&gt;=설정!$B$6)),"●",""))</f>
        <v/>
      </c>
      <c r="O204" s="31"/>
      <c r="P204" s="44" t="str">
        <f aca="false">IF($A204="","",IF(N204="","",B204&amp;": 당월 실적 "&amp;TEXT(E204,"#,##0")&amp;설정!$B$7&amp;"으로 예산 대비 "&amp;TEXT(ABS(F204),"#,##0")&amp;설정!$B$7&amp;"("&amp;IF(D204=0,"예산 없음",TEXT(ABS(G204),"0.0%"))&amp;") "&amp;IF(C204="매출",IF(F204&gt;0,"상회","하회"),IF(F204&gt;0,"초과","절감"))&amp;" ["&amp;H204&amp;"]. 원인: "&amp;IF(O204="","___",O204)))</f>
        <v/>
      </c>
      <c r="Q204" s="45" t="str">
        <f aca="false">IF($A204="","",IF(N204="●",ABS(F204)+ROW()/1000000,0))</f>
        <v/>
      </c>
    </row>
  </sheetData>
  <autoFilter ref="A4:Q204"/>
  <mergeCells count="4">
    <mergeCell ref="A3:C3"/>
    <mergeCell ref="D3:H3"/>
    <mergeCell ref="I3:M3"/>
    <mergeCell ref="N3:P3"/>
  </mergeCells>
  <conditionalFormatting sqref="A5:P204">
    <cfRule type="expression" priority="2" aboveAverage="0" equalAverage="0" bottom="0" percent="0" rank="0" text="" dxfId="12">
      <formula>$N5="●"</formula>
    </cfRule>
  </conditionalFormatting>
  <conditionalFormatting sqref="H5:H204">
    <cfRule type="expression" priority="3" aboveAverage="0" equalAverage="0" bottom="0" percent="0" rank="0" text="" dxfId="0">
      <formula>H5="유리"</formula>
    </cfRule>
    <cfRule type="expression" priority="4" aboveAverage="0" equalAverage="0" bottom="0" percent="0" rank="0" text="" dxfId="1">
      <formula>H5="불리"</formula>
    </cfRule>
  </conditionalFormatting>
  <conditionalFormatting sqref="M5:M204">
    <cfRule type="expression" priority="5" aboveAverage="0" equalAverage="0" bottom="0" percent="0" rank="0" text="" dxfId="0">
      <formula>M5="유리"</formula>
    </cfRule>
    <cfRule type="expression" priority="6" aboveAverage="0" equalAverage="0" bottom="0" percent="0" rank="0" text="" dxfId="1">
      <formula>M5="불리"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2026-09-29T10:49:51Z</dcterms:created>
  <dc:creator>openpyxl</dc:creator>
  <dc:description/>
  <dc:language>en-US</dc:language>
  <cp:lastModifiedBy/>
  <dcterms:modified xsi:type="dcterms:W3CDTF">2026-09-29T10:49:52Z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